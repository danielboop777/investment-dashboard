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ock\Performance Analysis\Github\"/>
    </mc:Choice>
  </mc:AlternateContent>
  <xr:revisionPtr revIDLastSave="0" documentId="13_ncr:1_{188B9D5A-6BFB-4286-8055-4AF09AC1B8D0}" xr6:coauthVersionLast="47" xr6:coauthVersionMax="47" xr10:uidLastSave="{00000000-0000-0000-0000-000000000000}"/>
  <bookViews>
    <workbookView xWindow="-108" yWindow="-108" windowWidth="23256" windowHeight="12456" xr2:uid="{45232E91-2942-48E5-B177-C7A9AF3DCEF7}"/>
  </bookViews>
  <sheets>
    <sheet name="0" sheetId="1" r:id="rId1"/>
  </sheets>
  <definedNames>
    <definedName name="_xlnm._FilterDatabase" localSheetId="0" hidden="1">'0'!$B$1:$G$217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6" i="1" l="1"/>
  <c r="E92" i="1"/>
  <c r="E91" i="1"/>
  <c r="E78" i="1"/>
  <c r="E77" i="1"/>
  <c r="D98" i="1" l="1"/>
  <c r="D97" i="1"/>
  <c r="D96" i="1"/>
  <c r="D95" i="1"/>
  <c r="D94" i="1"/>
  <c r="D93" i="1"/>
  <c r="D88" i="1"/>
  <c r="D87" i="1"/>
  <c r="D86" i="1"/>
  <c r="D85" i="1"/>
  <c r="D82" i="1"/>
  <c r="D81" i="1"/>
</calcChain>
</file>

<file path=xl/sharedStrings.xml><?xml version="1.0" encoding="utf-8"?>
<sst xmlns="http://schemas.openxmlformats.org/spreadsheetml/2006/main" count="496" uniqueCount="65">
  <si>
    <t>Status</t>
    <phoneticPr fontId="2" type="noConversion"/>
  </si>
  <si>
    <t>Sold</t>
    <phoneticPr fontId="2" type="noConversion"/>
  </si>
  <si>
    <t>Hold</t>
    <phoneticPr fontId="2" type="noConversion"/>
  </si>
  <si>
    <t>Buy Time</t>
    <phoneticPr fontId="2" type="noConversion"/>
  </si>
  <si>
    <t>Sell Time</t>
    <phoneticPr fontId="2" type="noConversion"/>
  </si>
  <si>
    <t>Stock Symbol</t>
    <phoneticPr fontId="2" type="noConversion"/>
  </si>
  <si>
    <t># of Shares</t>
    <phoneticPr fontId="2" type="noConversion"/>
  </si>
  <si>
    <t>Cost Basis</t>
    <phoneticPr fontId="2" type="noConversion"/>
  </si>
  <si>
    <t>Sell Price</t>
    <phoneticPr fontId="2" type="noConversion"/>
  </si>
  <si>
    <t>Name</t>
  </si>
  <si>
    <t>陽明</t>
  </si>
  <si>
    <t>長榮</t>
  </si>
  <si>
    <t>中鋼</t>
  </si>
  <si>
    <t>儒鴻</t>
  </si>
  <si>
    <t>同欣電</t>
  </si>
  <si>
    <t>美琪瑪</t>
  </si>
  <si>
    <t>康普</t>
  </si>
  <si>
    <t>立凱 - KY</t>
  </si>
  <si>
    <t>虹堡</t>
  </si>
  <si>
    <t>東鹼</t>
  </si>
  <si>
    <t>玉山金</t>
  </si>
  <si>
    <t>德微</t>
  </si>
  <si>
    <t>佳龍</t>
  </si>
  <si>
    <t>長榮航</t>
  </si>
  <si>
    <t>全宇生技 - KY</t>
  </si>
  <si>
    <t>三福化</t>
  </si>
  <si>
    <t>智擎</t>
  </si>
  <si>
    <t>精鋼</t>
  </si>
  <si>
    <t>智捷</t>
  </si>
  <si>
    <t>宇智</t>
  </si>
  <si>
    <t>鉅明</t>
  </si>
  <si>
    <t>明基醫</t>
  </si>
  <si>
    <t>港建</t>
  </si>
  <si>
    <t>易飛網</t>
  </si>
  <si>
    <r>
      <rPr>
        <sz val="11"/>
        <color theme="1"/>
        <rFont val="新細明體"/>
        <family val="2"/>
      </rPr>
      <t>宇智</t>
    </r>
  </si>
  <si>
    <r>
      <rPr>
        <sz val="11"/>
        <color theme="1"/>
        <rFont val="新細明體"/>
        <family val="2"/>
      </rPr>
      <t>鉅明</t>
    </r>
  </si>
  <si>
    <r>
      <rPr>
        <sz val="11"/>
        <color theme="1"/>
        <rFont val="新細明體"/>
        <family val="2"/>
      </rPr>
      <t>易飛網</t>
    </r>
  </si>
  <si>
    <r>
      <rPr>
        <sz val="11"/>
        <color theme="1"/>
        <rFont val="新細明體"/>
        <family val="2"/>
      </rPr>
      <t>富野</t>
    </r>
  </si>
  <si>
    <r>
      <rPr>
        <sz val="11"/>
        <color theme="1"/>
        <rFont val="新細明體"/>
        <family val="2"/>
      </rPr>
      <t>明達醫</t>
    </r>
  </si>
  <si>
    <r>
      <rPr>
        <sz val="11"/>
        <color theme="1"/>
        <rFont val="新細明體"/>
        <family val="2"/>
      </rPr>
      <t>晟田</t>
    </r>
  </si>
  <si>
    <r>
      <rPr>
        <sz val="11"/>
        <color theme="1"/>
        <rFont val="新細明體"/>
        <family val="2"/>
      </rPr>
      <t>山富</t>
    </r>
  </si>
  <si>
    <r>
      <rPr>
        <sz val="11"/>
        <color theme="1"/>
        <rFont val="新細明體"/>
        <family val="2"/>
      </rPr>
      <t>長榮</t>
    </r>
  </si>
  <si>
    <r>
      <rPr>
        <b/>
        <sz val="11"/>
        <color theme="0"/>
        <rFont val="新細明體"/>
        <family val="2"/>
      </rPr>
      <t>昇達科</t>
    </r>
    <phoneticPr fontId="2" type="noConversion"/>
  </si>
  <si>
    <r>
      <rPr>
        <sz val="11"/>
        <color theme="1"/>
        <rFont val="新細明體"/>
        <family val="2"/>
      </rPr>
      <t>智捷</t>
    </r>
    <phoneticPr fontId="2" type="noConversion"/>
  </si>
  <si>
    <r>
      <rPr>
        <sz val="11"/>
        <color theme="1"/>
        <rFont val="新細明體"/>
        <family val="2"/>
      </rPr>
      <t>台表科</t>
    </r>
    <phoneticPr fontId="2" type="noConversion"/>
  </si>
  <si>
    <r>
      <rPr>
        <sz val="11"/>
        <color theme="1"/>
        <rFont val="新細明體"/>
        <family val="2"/>
      </rPr>
      <t>飛宏</t>
    </r>
    <phoneticPr fontId="2" type="noConversion"/>
  </si>
  <si>
    <r>
      <rPr>
        <sz val="11"/>
        <color theme="1"/>
        <rFont val="新細明體"/>
        <family val="2"/>
      </rPr>
      <t>長榮</t>
    </r>
    <phoneticPr fontId="2" type="noConversion"/>
  </si>
  <si>
    <r>
      <rPr>
        <sz val="11"/>
        <color theme="1"/>
        <rFont val="新細明體"/>
        <family val="2"/>
      </rPr>
      <t>視陽</t>
    </r>
    <phoneticPr fontId="2" type="noConversion"/>
  </si>
  <si>
    <r>
      <rPr>
        <sz val="11"/>
        <color theme="1"/>
        <rFont val="新細明體"/>
        <family val="2"/>
      </rPr>
      <t>欣興</t>
    </r>
    <phoneticPr fontId="2" type="noConversion"/>
  </si>
  <si>
    <r>
      <rPr>
        <sz val="11"/>
        <color theme="1"/>
        <rFont val="新細明體"/>
        <family val="2"/>
      </rPr>
      <t>迅得</t>
    </r>
    <phoneticPr fontId="2" type="noConversion"/>
  </si>
  <si>
    <r>
      <rPr>
        <sz val="11"/>
        <color theme="1"/>
        <rFont val="新細明體"/>
        <family val="2"/>
      </rPr>
      <t>全友</t>
    </r>
    <phoneticPr fontId="2" type="noConversion"/>
  </si>
  <si>
    <r>
      <rPr>
        <sz val="11"/>
        <color theme="1"/>
        <rFont val="新細明體"/>
        <family val="2"/>
      </rPr>
      <t>智擎</t>
    </r>
    <phoneticPr fontId="2" type="noConversion"/>
  </si>
  <si>
    <r>
      <rPr>
        <sz val="11"/>
        <color theme="1"/>
        <rFont val="新細明體"/>
        <family val="2"/>
      </rPr>
      <t>百一</t>
    </r>
    <phoneticPr fontId="2" type="noConversion"/>
  </si>
  <si>
    <r>
      <rPr>
        <sz val="11"/>
        <color theme="1"/>
        <rFont val="新細明體"/>
        <family val="2"/>
      </rPr>
      <t>連宇</t>
    </r>
    <phoneticPr fontId="2" type="noConversion"/>
  </si>
  <si>
    <r>
      <rPr>
        <sz val="11"/>
        <color theme="1"/>
        <rFont val="新細明體"/>
        <family val="2"/>
      </rPr>
      <t>聯亞</t>
    </r>
    <phoneticPr fontId="2" type="noConversion"/>
  </si>
  <si>
    <t>晶碩</t>
    <phoneticPr fontId="2" type="noConversion"/>
  </si>
  <si>
    <t>迅得</t>
    <phoneticPr fontId="2" type="noConversion"/>
  </si>
  <si>
    <t>佳龍</t>
    <phoneticPr fontId="2" type="noConversion"/>
  </si>
  <si>
    <t>台積電</t>
    <phoneticPr fontId="2" type="noConversion"/>
  </si>
  <si>
    <r>
      <rPr>
        <sz val="11"/>
        <color theme="1"/>
        <rFont val="細明體"/>
        <family val="2"/>
        <charset val="136"/>
      </rPr>
      <t>光洋科</t>
    </r>
    <phoneticPr fontId="2" type="noConversion"/>
  </si>
  <si>
    <r>
      <rPr>
        <sz val="11"/>
        <color theme="1"/>
        <rFont val="細明體"/>
        <family val="2"/>
        <charset val="136"/>
      </rPr>
      <t>中光電</t>
    </r>
    <phoneticPr fontId="2" type="noConversion"/>
  </si>
  <si>
    <r>
      <rPr>
        <sz val="11"/>
        <rFont val="新細明體"/>
        <family val="2"/>
      </rPr>
      <t>系統電</t>
    </r>
    <phoneticPr fontId="2" type="noConversion"/>
  </si>
  <si>
    <r>
      <rPr>
        <sz val="11"/>
        <rFont val="新細明體"/>
        <family val="2"/>
      </rPr>
      <t>昇達科</t>
    </r>
    <phoneticPr fontId="2" type="noConversion"/>
  </si>
  <si>
    <r>
      <rPr>
        <sz val="11"/>
        <rFont val="新細明體"/>
        <family val="2"/>
      </rPr>
      <t>富野</t>
    </r>
  </si>
  <si>
    <r>
      <rPr>
        <b/>
        <sz val="11"/>
        <color theme="0"/>
        <rFont val="細明體"/>
        <family val="2"/>
        <charset val="136"/>
      </rPr>
      <t>光洋科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</si>
</sst>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6" formatCode="#,##0_ "/>
    <numFmt numFmtId="177" formatCode="&quot;$&quot;#,##0.00;[Red]&quot;$&quot;#,##0.00"/>
  </numFmts>
  <fonts count="12" x14ac:knownFonts="1"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sz val="9"/>
      <name val="新細明體"/>
      <family val="3"/>
      <charset val="136"/>
      <scheme val="minor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</font>
    <font>
      <b/>
      <sz val="11"/>
      <color theme="0"/>
      <name val="新細明體"/>
      <family val="2"/>
    </font>
    <font>
      <sz val="11"/>
      <color theme="1"/>
      <name val="細明體"/>
      <family val="2"/>
      <charset val="136"/>
    </font>
    <font>
      <sz val="11"/>
      <name val="Calibri"/>
      <family val="2"/>
    </font>
    <font>
      <sz val="11"/>
      <name val="新細明體"/>
      <family val="2"/>
    </font>
    <font>
      <b/>
      <sz val="11"/>
      <color theme="0"/>
      <name val="細明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thick">
        <color rgb="FFFF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4" fontId="4" fillId="4" borderId="2" xfId="0" applyNumberFormat="1" applyFont="1" applyFill="1" applyBorder="1" applyAlignment="1">
      <alignment horizontal="center" vertical="center"/>
    </xf>
    <xf numFmtId="0" fontId="4" fillId="4" borderId="0" xfId="0" applyFont="1" applyFill="1"/>
    <xf numFmtId="176" fontId="1" fillId="0" borderId="3" xfId="0" applyNumberFormat="1" applyFont="1" applyBorder="1" applyAlignment="1">
      <alignment horizontal="center" vertical="center"/>
    </xf>
    <xf numFmtId="176" fontId="4" fillId="4" borderId="3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77" fontId="1" fillId="0" borderId="2" xfId="1" applyNumberFormat="1" applyFont="1" applyBorder="1" applyAlignment="1">
      <alignment horizontal="center" vertical="center"/>
    </xf>
    <xf numFmtId="177" fontId="1" fillId="0" borderId="6" xfId="1" applyNumberFormat="1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7" fontId="4" fillId="4" borderId="2" xfId="0" applyNumberFormat="1" applyFont="1" applyFill="1" applyBorder="1" applyAlignment="1">
      <alignment horizontal="center" vertical="center"/>
    </xf>
    <xf numFmtId="177" fontId="4" fillId="4" borderId="6" xfId="1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25"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9C65A-F239-441B-8E94-C83D8172A03C}">
  <sheetPr>
    <tabColor rgb="FF0070C0"/>
  </sheetPr>
  <dimension ref="A1:H277"/>
  <sheetViews>
    <sheetView showGridLines="0" tabSelected="1" topLeftCell="A219" zoomScale="83" zoomScaleNormal="100" workbookViewId="0">
      <selection activeCell="F240" sqref="F240"/>
    </sheetView>
  </sheetViews>
  <sheetFormatPr defaultRowHeight="14.4" x14ac:dyDescent="0.3"/>
  <cols>
    <col min="1" max="2" width="20.625" style="2" bestFit="1" customWidth="1"/>
    <col min="3" max="3" width="18" style="2" bestFit="1" customWidth="1"/>
    <col min="4" max="4" width="17" style="3" bestFit="1" customWidth="1"/>
    <col min="5" max="5" width="17" style="18" customWidth="1"/>
    <col min="6" max="7" width="16.375" style="2" bestFit="1" customWidth="1"/>
    <col min="8" max="8" width="12.5" style="2" customWidth="1"/>
    <col min="9" max="16384" width="9" style="1"/>
  </cols>
  <sheetData>
    <row r="1" spans="1:8" x14ac:dyDescent="0.3">
      <c r="A1" s="4" t="s">
        <v>9</v>
      </c>
      <c r="B1" s="4" t="s">
        <v>5</v>
      </c>
      <c r="C1" s="5" t="s">
        <v>6</v>
      </c>
      <c r="D1" s="4" t="s">
        <v>7</v>
      </c>
      <c r="E1" s="4" t="s">
        <v>8</v>
      </c>
      <c r="F1" s="4" t="s">
        <v>3</v>
      </c>
      <c r="G1" s="4" t="s">
        <v>4</v>
      </c>
      <c r="H1" s="4" t="s">
        <v>0</v>
      </c>
    </row>
    <row r="2" spans="1:8" x14ac:dyDescent="0.3">
      <c r="A2" s="6" t="s">
        <v>10</v>
      </c>
      <c r="B2" s="6">
        <v>2609</v>
      </c>
      <c r="C2" s="15">
        <v>1000</v>
      </c>
      <c r="D2" s="19">
        <v>68</v>
      </c>
      <c r="E2" s="20">
        <v>90</v>
      </c>
      <c r="F2" s="9">
        <v>44333</v>
      </c>
      <c r="G2" s="9">
        <v>44337</v>
      </c>
      <c r="H2" s="7" t="s">
        <v>1</v>
      </c>
    </row>
    <row r="3" spans="1:8" x14ac:dyDescent="0.3">
      <c r="A3" s="6" t="s">
        <v>11</v>
      </c>
      <c r="B3" s="6">
        <v>2603</v>
      </c>
      <c r="C3" s="15">
        <v>1000</v>
      </c>
      <c r="D3" s="19">
        <v>81</v>
      </c>
      <c r="E3" s="20">
        <v>83</v>
      </c>
      <c r="F3" s="9">
        <v>44336</v>
      </c>
      <c r="G3" s="9">
        <v>44337</v>
      </c>
      <c r="H3" s="7" t="s">
        <v>1</v>
      </c>
    </row>
    <row r="4" spans="1:8" x14ac:dyDescent="0.3">
      <c r="A4" s="6" t="s">
        <v>10</v>
      </c>
      <c r="B4" s="6">
        <v>2609</v>
      </c>
      <c r="C4" s="15">
        <v>1000</v>
      </c>
      <c r="D4" s="19">
        <v>92</v>
      </c>
      <c r="E4" s="20">
        <v>87</v>
      </c>
      <c r="F4" s="9">
        <v>44340</v>
      </c>
      <c r="G4" s="9">
        <v>44341</v>
      </c>
      <c r="H4" s="7" t="s">
        <v>1</v>
      </c>
    </row>
    <row r="5" spans="1:8" x14ac:dyDescent="0.3">
      <c r="A5" s="6" t="s">
        <v>11</v>
      </c>
      <c r="B5" s="6">
        <v>2603</v>
      </c>
      <c r="C5" s="15">
        <v>1000</v>
      </c>
      <c r="D5" s="19">
        <v>85</v>
      </c>
      <c r="E5" s="20">
        <v>79.599999999999994</v>
      </c>
      <c r="F5" s="9">
        <v>44340</v>
      </c>
      <c r="G5" s="9">
        <v>44341</v>
      </c>
      <c r="H5" s="7" t="s">
        <v>1</v>
      </c>
    </row>
    <row r="6" spans="1:8" x14ac:dyDescent="0.3">
      <c r="A6" s="6" t="s">
        <v>12</v>
      </c>
      <c r="B6" s="6">
        <v>2002</v>
      </c>
      <c r="C6" s="15">
        <v>1000</v>
      </c>
      <c r="D6" s="19">
        <v>35.5</v>
      </c>
      <c r="E6" s="20">
        <v>40</v>
      </c>
      <c r="F6" s="9">
        <v>44340</v>
      </c>
      <c r="G6" s="9">
        <v>44377</v>
      </c>
      <c r="H6" s="7" t="s">
        <v>1</v>
      </c>
    </row>
    <row r="7" spans="1:8" x14ac:dyDescent="0.3">
      <c r="A7" s="6" t="s">
        <v>13</v>
      </c>
      <c r="B7" s="6">
        <v>1476</v>
      </c>
      <c r="C7" s="15">
        <v>50</v>
      </c>
      <c r="D7" s="19">
        <v>635</v>
      </c>
      <c r="E7" s="20">
        <v>574</v>
      </c>
      <c r="F7" s="9">
        <v>44351</v>
      </c>
      <c r="G7" s="9">
        <v>44419</v>
      </c>
      <c r="H7" s="7" t="s">
        <v>1</v>
      </c>
    </row>
    <row r="8" spans="1:8" x14ac:dyDescent="0.3">
      <c r="A8" s="6" t="s">
        <v>11</v>
      </c>
      <c r="B8" s="6">
        <v>2603</v>
      </c>
      <c r="C8" s="15">
        <v>1000</v>
      </c>
      <c r="D8" s="19">
        <v>113</v>
      </c>
      <c r="E8" s="20">
        <v>230</v>
      </c>
      <c r="F8" s="9">
        <v>44354</v>
      </c>
      <c r="G8" s="9">
        <v>44383</v>
      </c>
      <c r="H8" s="7" t="s">
        <v>1</v>
      </c>
    </row>
    <row r="9" spans="1:8" x14ac:dyDescent="0.3">
      <c r="A9" s="6" t="s">
        <v>14</v>
      </c>
      <c r="B9" s="6">
        <v>6271</v>
      </c>
      <c r="C9" s="15">
        <v>200</v>
      </c>
      <c r="D9" s="19">
        <v>220</v>
      </c>
      <c r="E9" s="20">
        <v>213.5</v>
      </c>
      <c r="F9" s="9">
        <v>44383</v>
      </c>
      <c r="G9" s="9">
        <v>44448</v>
      </c>
      <c r="H9" s="7" t="s">
        <v>1</v>
      </c>
    </row>
    <row r="10" spans="1:8" x14ac:dyDescent="0.3">
      <c r="A10" s="6" t="s">
        <v>15</v>
      </c>
      <c r="B10" s="6">
        <v>4721</v>
      </c>
      <c r="C10" s="15">
        <v>1000</v>
      </c>
      <c r="D10" s="19">
        <v>76.099999999999994</v>
      </c>
      <c r="E10" s="20">
        <v>132.5</v>
      </c>
      <c r="F10" s="9">
        <v>44385</v>
      </c>
      <c r="G10" s="9">
        <v>44431</v>
      </c>
      <c r="H10" s="7" t="s">
        <v>1</v>
      </c>
    </row>
    <row r="11" spans="1:8" x14ac:dyDescent="0.3">
      <c r="A11" s="6" t="s">
        <v>13</v>
      </c>
      <c r="B11" s="6">
        <v>1476</v>
      </c>
      <c r="C11" s="15">
        <v>50</v>
      </c>
      <c r="D11" s="19">
        <v>631</v>
      </c>
      <c r="E11" s="20">
        <v>574</v>
      </c>
      <c r="F11" s="9">
        <v>44385</v>
      </c>
      <c r="G11" s="9">
        <v>44419</v>
      </c>
      <c r="H11" s="7" t="s">
        <v>1</v>
      </c>
    </row>
    <row r="12" spans="1:8" x14ac:dyDescent="0.3">
      <c r="A12" s="6" t="s">
        <v>11</v>
      </c>
      <c r="B12" s="6">
        <v>2603</v>
      </c>
      <c r="C12" s="15">
        <v>1000</v>
      </c>
      <c r="D12" s="19">
        <v>187</v>
      </c>
      <c r="E12" s="20">
        <v>145</v>
      </c>
      <c r="F12" s="9">
        <v>44386</v>
      </c>
      <c r="G12" s="9">
        <v>44431</v>
      </c>
      <c r="H12" s="7" t="s">
        <v>1</v>
      </c>
    </row>
    <row r="13" spans="1:8" x14ac:dyDescent="0.3">
      <c r="A13" s="6" t="s">
        <v>15</v>
      </c>
      <c r="B13" s="6">
        <v>4721</v>
      </c>
      <c r="C13" s="15">
        <v>200</v>
      </c>
      <c r="D13" s="19">
        <v>88.1</v>
      </c>
      <c r="E13" s="20">
        <v>120.5</v>
      </c>
      <c r="F13" s="9">
        <v>44419</v>
      </c>
      <c r="G13" s="9">
        <v>44767</v>
      </c>
      <c r="H13" s="7" t="s">
        <v>1</v>
      </c>
    </row>
    <row r="14" spans="1:8" x14ac:dyDescent="0.3">
      <c r="A14" s="6" t="s">
        <v>15</v>
      </c>
      <c r="B14" s="6">
        <v>4721</v>
      </c>
      <c r="C14" s="15">
        <v>50</v>
      </c>
      <c r="D14" s="19">
        <v>88.1</v>
      </c>
      <c r="E14" s="20">
        <v>129</v>
      </c>
      <c r="F14" s="9">
        <v>44419</v>
      </c>
      <c r="G14" s="9">
        <v>44817</v>
      </c>
      <c r="H14" s="7" t="s">
        <v>1</v>
      </c>
    </row>
    <row r="15" spans="1:8" x14ac:dyDescent="0.3">
      <c r="A15" s="6" t="s">
        <v>15</v>
      </c>
      <c r="B15" s="6">
        <v>4721</v>
      </c>
      <c r="C15" s="15">
        <v>150</v>
      </c>
      <c r="D15" s="19">
        <v>89.3</v>
      </c>
      <c r="E15" s="20">
        <v>129</v>
      </c>
      <c r="F15" s="9">
        <v>44419</v>
      </c>
      <c r="G15" s="9">
        <v>44817</v>
      </c>
      <c r="H15" s="7" t="s">
        <v>1</v>
      </c>
    </row>
    <row r="16" spans="1:8" x14ac:dyDescent="0.3">
      <c r="A16" s="6" t="s">
        <v>16</v>
      </c>
      <c r="B16" s="6">
        <v>4739</v>
      </c>
      <c r="C16" s="15">
        <v>195</v>
      </c>
      <c r="D16" s="19">
        <v>107.5</v>
      </c>
      <c r="E16" s="20">
        <v>101</v>
      </c>
      <c r="F16" s="9">
        <v>44419</v>
      </c>
      <c r="G16" s="9">
        <v>44426</v>
      </c>
      <c r="H16" s="7" t="s">
        <v>1</v>
      </c>
    </row>
    <row r="17" spans="1:8" x14ac:dyDescent="0.3">
      <c r="A17" s="6" t="s">
        <v>16</v>
      </c>
      <c r="B17" s="6">
        <v>4739</v>
      </c>
      <c r="C17" s="15">
        <v>105</v>
      </c>
      <c r="D17" s="19">
        <v>107</v>
      </c>
      <c r="E17" s="20">
        <v>101</v>
      </c>
      <c r="F17" s="9">
        <v>44419</v>
      </c>
      <c r="G17" s="9">
        <v>44426</v>
      </c>
      <c r="H17" s="7" t="s">
        <v>1</v>
      </c>
    </row>
    <row r="18" spans="1:8" x14ac:dyDescent="0.3">
      <c r="A18" s="6" t="s">
        <v>17</v>
      </c>
      <c r="B18" s="6">
        <v>5227</v>
      </c>
      <c r="C18" s="15">
        <v>1000</v>
      </c>
      <c r="D18" s="19">
        <v>33</v>
      </c>
      <c r="E18" s="20">
        <v>26.2</v>
      </c>
      <c r="F18" s="9">
        <v>44435</v>
      </c>
      <c r="G18" s="9">
        <v>44441</v>
      </c>
      <c r="H18" s="7" t="s">
        <v>1</v>
      </c>
    </row>
    <row r="19" spans="1:8" x14ac:dyDescent="0.3">
      <c r="A19" s="6" t="s">
        <v>17</v>
      </c>
      <c r="B19" s="6">
        <v>5227</v>
      </c>
      <c r="C19" s="15">
        <v>1000</v>
      </c>
      <c r="D19" s="19">
        <v>34</v>
      </c>
      <c r="E19" s="20">
        <v>26.2</v>
      </c>
      <c r="F19" s="9">
        <v>44435</v>
      </c>
      <c r="G19" s="9">
        <v>44441</v>
      </c>
      <c r="H19" s="7" t="s">
        <v>1</v>
      </c>
    </row>
    <row r="20" spans="1:8" x14ac:dyDescent="0.3">
      <c r="A20" s="6" t="s">
        <v>18</v>
      </c>
      <c r="B20" s="6">
        <v>5258</v>
      </c>
      <c r="C20" s="15">
        <v>300</v>
      </c>
      <c r="D20" s="19">
        <v>39</v>
      </c>
      <c r="E20" s="20">
        <v>42</v>
      </c>
      <c r="F20" s="9">
        <v>44649</v>
      </c>
      <c r="G20" s="9">
        <v>44673</v>
      </c>
      <c r="H20" s="7" t="s">
        <v>1</v>
      </c>
    </row>
    <row r="21" spans="1:8" x14ac:dyDescent="0.3">
      <c r="A21" s="6" t="s">
        <v>19</v>
      </c>
      <c r="B21" s="6">
        <v>1708</v>
      </c>
      <c r="C21" s="15">
        <v>200</v>
      </c>
      <c r="D21" s="19">
        <v>59.1</v>
      </c>
      <c r="E21" s="20">
        <v>58.8</v>
      </c>
      <c r="F21" s="9">
        <v>44657</v>
      </c>
      <c r="G21" s="9">
        <v>44677</v>
      </c>
      <c r="H21" s="7" t="s">
        <v>1</v>
      </c>
    </row>
    <row r="22" spans="1:8" x14ac:dyDescent="0.3">
      <c r="A22" s="6" t="s">
        <v>20</v>
      </c>
      <c r="B22" s="6">
        <v>2884</v>
      </c>
      <c r="C22" s="15">
        <v>350</v>
      </c>
      <c r="D22" s="19">
        <v>33.85</v>
      </c>
      <c r="E22" s="20">
        <v>34.049999999999997</v>
      </c>
      <c r="F22" s="9">
        <v>44657</v>
      </c>
      <c r="G22" s="9">
        <v>44665</v>
      </c>
      <c r="H22" s="7" t="s">
        <v>1</v>
      </c>
    </row>
    <row r="23" spans="1:8" x14ac:dyDescent="0.3">
      <c r="A23" s="6" t="s">
        <v>21</v>
      </c>
      <c r="B23" s="6">
        <v>3675</v>
      </c>
      <c r="C23" s="15">
        <v>35</v>
      </c>
      <c r="D23" s="19">
        <v>356</v>
      </c>
      <c r="E23" s="20">
        <v>305</v>
      </c>
      <c r="F23" s="9">
        <v>44658</v>
      </c>
      <c r="G23" s="9">
        <v>44662</v>
      </c>
      <c r="H23" s="7" t="s">
        <v>1</v>
      </c>
    </row>
    <row r="24" spans="1:8" x14ac:dyDescent="0.3">
      <c r="A24" s="6" t="s">
        <v>22</v>
      </c>
      <c r="B24" s="6">
        <v>9955</v>
      </c>
      <c r="C24" s="15">
        <v>400</v>
      </c>
      <c r="D24" s="19">
        <v>30.95</v>
      </c>
      <c r="E24" s="20">
        <v>27.8</v>
      </c>
      <c r="F24" s="9">
        <v>44659</v>
      </c>
      <c r="G24" s="9">
        <v>44672</v>
      </c>
      <c r="H24" s="7" t="s">
        <v>1</v>
      </c>
    </row>
    <row r="25" spans="1:8" x14ac:dyDescent="0.3">
      <c r="A25" s="6" t="s">
        <v>22</v>
      </c>
      <c r="B25" s="6">
        <v>9955</v>
      </c>
      <c r="C25" s="15">
        <v>300</v>
      </c>
      <c r="D25" s="19">
        <v>32.799999999999997</v>
      </c>
      <c r="E25" s="20">
        <v>27.8</v>
      </c>
      <c r="F25" s="9">
        <v>44663</v>
      </c>
      <c r="G25" s="9">
        <v>44672</v>
      </c>
      <c r="H25" s="7" t="s">
        <v>1</v>
      </c>
    </row>
    <row r="26" spans="1:8" x14ac:dyDescent="0.3">
      <c r="A26" s="6" t="s">
        <v>19</v>
      </c>
      <c r="B26" s="6">
        <v>1708</v>
      </c>
      <c r="C26" s="15">
        <v>200</v>
      </c>
      <c r="D26" s="19">
        <v>67.8</v>
      </c>
      <c r="E26" s="20">
        <v>58.8</v>
      </c>
      <c r="F26" s="9">
        <v>44663</v>
      </c>
      <c r="G26" s="9">
        <v>44677</v>
      </c>
      <c r="H26" s="7" t="s">
        <v>1</v>
      </c>
    </row>
    <row r="27" spans="1:8" x14ac:dyDescent="0.3">
      <c r="A27" s="6" t="s">
        <v>23</v>
      </c>
      <c r="B27" s="6">
        <v>2618</v>
      </c>
      <c r="C27" s="15">
        <v>350</v>
      </c>
      <c r="D27" s="19">
        <v>36.799999999999997</v>
      </c>
      <c r="E27" s="20">
        <v>30.7</v>
      </c>
      <c r="F27" s="9">
        <v>44666</v>
      </c>
      <c r="G27" s="9">
        <v>44735</v>
      </c>
      <c r="H27" s="7" t="s">
        <v>1</v>
      </c>
    </row>
    <row r="28" spans="1:8" x14ac:dyDescent="0.3">
      <c r="A28" s="6" t="s">
        <v>24</v>
      </c>
      <c r="B28" s="6">
        <v>4148</v>
      </c>
      <c r="C28" s="15">
        <v>130</v>
      </c>
      <c r="D28" s="19">
        <v>93</v>
      </c>
      <c r="E28" s="20">
        <v>56</v>
      </c>
      <c r="F28" s="9">
        <v>44666</v>
      </c>
      <c r="G28" s="9">
        <v>44728</v>
      </c>
      <c r="H28" s="7" t="s">
        <v>1</v>
      </c>
    </row>
    <row r="29" spans="1:8" x14ac:dyDescent="0.3">
      <c r="A29" s="6" t="s">
        <v>25</v>
      </c>
      <c r="B29" s="6">
        <v>4755</v>
      </c>
      <c r="C29" s="15">
        <v>90</v>
      </c>
      <c r="D29" s="19">
        <v>186</v>
      </c>
      <c r="E29" s="20">
        <v>212</v>
      </c>
      <c r="F29" s="9">
        <v>44670</v>
      </c>
      <c r="G29" s="9">
        <v>44718</v>
      </c>
      <c r="H29" s="7" t="s">
        <v>1</v>
      </c>
    </row>
    <row r="30" spans="1:8" x14ac:dyDescent="0.3">
      <c r="A30" s="6" t="s">
        <v>22</v>
      </c>
      <c r="B30" s="6">
        <v>9955</v>
      </c>
      <c r="C30" s="15">
        <v>300</v>
      </c>
      <c r="D30" s="19">
        <v>29.8</v>
      </c>
      <c r="E30" s="20">
        <v>27.8</v>
      </c>
      <c r="F30" s="9">
        <v>44670</v>
      </c>
      <c r="G30" s="9">
        <v>44672</v>
      </c>
      <c r="H30" s="7" t="s">
        <v>1</v>
      </c>
    </row>
    <row r="31" spans="1:8" x14ac:dyDescent="0.3">
      <c r="A31" s="6" t="s">
        <v>24</v>
      </c>
      <c r="B31" s="6">
        <v>4148</v>
      </c>
      <c r="C31" s="15">
        <v>250</v>
      </c>
      <c r="D31" s="19">
        <v>76.5</v>
      </c>
      <c r="E31" s="20">
        <v>54.2</v>
      </c>
      <c r="F31" s="9">
        <v>44677</v>
      </c>
      <c r="G31" s="9">
        <v>44729</v>
      </c>
      <c r="H31" s="7" t="s">
        <v>1</v>
      </c>
    </row>
    <row r="32" spans="1:8" x14ac:dyDescent="0.3">
      <c r="A32" s="6" t="s">
        <v>24</v>
      </c>
      <c r="B32" s="6">
        <v>4148</v>
      </c>
      <c r="C32" s="15">
        <v>150</v>
      </c>
      <c r="D32" s="19">
        <v>77</v>
      </c>
      <c r="E32" s="20">
        <v>54.2</v>
      </c>
      <c r="F32" s="9">
        <v>44679</v>
      </c>
      <c r="G32" s="9">
        <v>44729</v>
      </c>
      <c r="H32" s="7" t="s">
        <v>1</v>
      </c>
    </row>
    <row r="33" spans="1:8" x14ac:dyDescent="0.3">
      <c r="A33" s="6" t="s">
        <v>24</v>
      </c>
      <c r="B33" s="6">
        <v>4148</v>
      </c>
      <c r="C33" s="15">
        <v>170</v>
      </c>
      <c r="D33" s="19">
        <v>80</v>
      </c>
      <c r="E33" s="20">
        <v>54.2</v>
      </c>
      <c r="F33" s="9">
        <v>44679</v>
      </c>
      <c r="G33" s="9">
        <v>44729</v>
      </c>
      <c r="H33" s="7" t="s">
        <v>1</v>
      </c>
    </row>
    <row r="34" spans="1:8" x14ac:dyDescent="0.3">
      <c r="A34" s="6" t="s">
        <v>19</v>
      </c>
      <c r="B34" s="6">
        <v>1708</v>
      </c>
      <c r="C34" s="15">
        <v>143</v>
      </c>
      <c r="D34" s="19">
        <v>61.6</v>
      </c>
      <c r="E34" s="20">
        <v>48.15</v>
      </c>
      <c r="F34" s="9">
        <v>44679</v>
      </c>
      <c r="G34" s="9">
        <v>44732</v>
      </c>
      <c r="H34" s="7" t="s">
        <v>1</v>
      </c>
    </row>
    <row r="35" spans="1:8" x14ac:dyDescent="0.3">
      <c r="A35" s="6" t="s">
        <v>19</v>
      </c>
      <c r="B35" s="6">
        <v>1708</v>
      </c>
      <c r="C35" s="15">
        <v>570</v>
      </c>
      <c r="D35" s="19">
        <v>61.6</v>
      </c>
      <c r="E35" s="20">
        <v>49</v>
      </c>
      <c r="F35" s="9">
        <v>44679</v>
      </c>
      <c r="G35" s="9">
        <v>44733</v>
      </c>
      <c r="H35" s="7" t="s">
        <v>1</v>
      </c>
    </row>
    <row r="36" spans="1:8" x14ac:dyDescent="0.3">
      <c r="A36" s="6" t="s">
        <v>24</v>
      </c>
      <c r="B36" s="6">
        <v>4148</v>
      </c>
      <c r="C36" s="15">
        <v>100</v>
      </c>
      <c r="D36" s="19">
        <v>78.5</v>
      </c>
      <c r="E36" s="20">
        <v>58</v>
      </c>
      <c r="F36" s="9">
        <v>44680</v>
      </c>
      <c r="G36" s="9">
        <v>44725</v>
      </c>
      <c r="H36" s="7" t="s">
        <v>1</v>
      </c>
    </row>
    <row r="37" spans="1:8" x14ac:dyDescent="0.3">
      <c r="A37" s="6" t="s">
        <v>26</v>
      </c>
      <c r="B37" s="6">
        <v>4162</v>
      </c>
      <c r="C37" s="15">
        <v>130</v>
      </c>
      <c r="D37" s="19">
        <v>87.9</v>
      </c>
      <c r="E37" s="20">
        <v>78.8</v>
      </c>
      <c r="F37" s="9">
        <v>44684</v>
      </c>
      <c r="G37" s="9">
        <v>44692</v>
      </c>
      <c r="H37" s="7" t="s">
        <v>1</v>
      </c>
    </row>
    <row r="38" spans="1:8" x14ac:dyDescent="0.3">
      <c r="A38" s="6" t="s">
        <v>27</v>
      </c>
      <c r="B38" s="6">
        <v>1584</v>
      </c>
      <c r="C38" s="15">
        <v>1000</v>
      </c>
      <c r="D38" s="19">
        <v>21.3</v>
      </c>
      <c r="E38" s="20">
        <v>27.5</v>
      </c>
      <c r="F38" s="9">
        <v>44684</v>
      </c>
      <c r="G38" s="9">
        <v>44691</v>
      </c>
      <c r="H38" s="7" t="s">
        <v>1</v>
      </c>
    </row>
    <row r="39" spans="1:8" x14ac:dyDescent="0.3">
      <c r="A39" s="6" t="s">
        <v>28</v>
      </c>
      <c r="B39" s="6">
        <v>8176</v>
      </c>
      <c r="C39" s="15">
        <v>1000</v>
      </c>
      <c r="D39" s="19">
        <v>11.4</v>
      </c>
      <c r="E39" s="20">
        <v>9.4499999999999993</v>
      </c>
      <c r="F39" s="9">
        <v>44684</v>
      </c>
      <c r="G39" s="9">
        <v>44699</v>
      </c>
      <c r="H39" s="7" t="s">
        <v>1</v>
      </c>
    </row>
    <row r="40" spans="1:8" x14ac:dyDescent="0.3">
      <c r="A40" s="6" t="s">
        <v>26</v>
      </c>
      <c r="B40" s="6">
        <v>4162</v>
      </c>
      <c r="C40" s="15">
        <v>60</v>
      </c>
      <c r="D40" s="19">
        <v>86.5</v>
      </c>
      <c r="E40" s="20">
        <v>78.8</v>
      </c>
      <c r="F40" s="9">
        <v>44684</v>
      </c>
      <c r="G40" s="9">
        <v>44692</v>
      </c>
      <c r="H40" s="7" t="s">
        <v>1</v>
      </c>
    </row>
    <row r="41" spans="1:8" x14ac:dyDescent="0.3">
      <c r="A41" s="6" t="s">
        <v>29</v>
      </c>
      <c r="B41" s="10">
        <v>6470</v>
      </c>
      <c r="C41" s="15">
        <v>300</v>
      </c>
      <c r="D41" s="19">
        <v>53.8</v>
      </c>
      <c r="E41" s="20">
        <v>70.5</v>
      </c>
      <c r="F41" s="9">
        <v>44687</v>
      </c>
      <c r="G41" s="9">
        <v>44783</v>
      </c>
      <c r="H41" s="7" t="s">
        <v>1</v>
      </c>
    </row>
    <row r="42" spans="1:8" x14ac:dyDescent="0.3">
      <c r="A42" s="6" t="s">
        <v>29</v>
      </c>
      <c r="B42" s="10">
        <v>6470</v>
      </c>
      <c r="C42" s="15">
        <v>300</v>
      </c>
      <c r="D42" s="19">
        <v>56.5</v>
      </c>
      <c r="E42" s="20">
        <v>70.5</v>
      </c>
      <c r="F42" s="9">
        <v>44691</v>
      </c>
      <c r="G42" s="9">
        <v>44783</v>
      </c>
      <c r="H42" s="7" t="s">
        <v>1</v>
      </c>
    </row>
    <row r="43" spans="1:8" x14ac:dyDescent="0.3">
      <c r="A43" s="6" t="s">
        <v>25</v>
      </c>
      <c r="B43" s="6">
        <v>4755</v>
      </c>
      <c r="C43" s="15">
        <v>110</v>
      </c>
      <c r="D43" s="19">
        <v>174.5</v>
      </c>
      <c r="E43" s="20">
        <v>212</v>
      </c>
      <c r="F43" s="9">
        <v>44691</v>
      </c>
      <c r="G43" s="9">
        <v>44718</v>
      </c>
      <c r="H43" s="7" t="s">
        <v>1</v>
      </c>
    </row>
    <row r="44" spans="1:8" x14ac:dyDescent="0.3">
      <c r="A44" s="6" t="s">
        <v>27</v>
      </c>
      <c r="B44" s="6">
        <v>1584</v>
      </c>
      <c r="C44" s="15">
        <v>2000</v>
      </c>
      <c r="D44" s="19">
        <v>22.75</v>
      </c>
      <c r="E44" s="20">
        <v>22.75</v>
      </c>
      <c r="F44" s="9">
        <v>44693</v>
      </c>
      <c r="G44" s="9">
        <v>44708</v>
      </c>
      <c r="H44" s="7" t="s">
        <v>1</v>
      </c>
    </row>
    <row r="45" spans="1:8" x14ac:dyDescent="0.3">
      <c r="A45" s="6" t="s">
        <v>27</v>
      </c>
      <c r="B45" s="6">
        <v>1584</v>
      </c>
      <c r="C45" s="15">
        <v>2000</v>
      </c>
      <c r="D45" s="19">
        <v>23.3</v>
      </c>
      <c r="E45" s="20">
        <v>22.75</v>
      </c>
      <c r="F45" s="9">
        <v>44694</v>
      </c>
      <c r="G45" s="9">
        <v>44708</v>
      </c>
      <c r="H45" s="7" t="s">
        <v>1</v>
      </c>
    </row>
    <row r="46" spans="1:8" x14ac:dyDescent="0.3">
      <c r="A46" s="6" t="s">
        <v>27</v>
      </c>
      <c r="B46" s="6">
        <v>1584</v>
      </c>
      <c r="C46" s="15">
        <v>1000</v>
      </c>
      <c r="D46" s="19">
        <v>25</v>
      </c>
      <c r="E46" s="20">
        <v>20.6</v>
      </c>
      <c r="F46" s="9">
        <v>44698</v>
      </c>
      <c r="G46" s="9">
        <v>44726</v>
      </c>
      <c r="H46" s="7" t="s">
        <v>1</v>
      </c>
    </row>
    <row r="47" spans="1:8" x14ac:dyDescent="0.3">
      <c r="A47" s="6" t="s">
        <v>29</v>
      </c>
      <c r="B47" s="10">
        <v>6470</v>
      </c>
      <c r="C47" s="15">
        <v>11</v>
      </c>
      <c r="D47" s="19">
        <v>63</v>
      </c>
      <c r="E47" s="20">
        <v>70.5</v>
      </c>
      <c r="F47" s="9">
        <v>44699</v>
      </c>
      <c r="G47" s="9">
        <v>44783</v>
      </c>
      <c r="H47" s="7" t="s">
        <v>1</v>
      </c>
    </row>
    <row r="48" spans="1:8" x14ac:dyDescent="0.3">
      <c r="A48" s="6" t="s">
        <v>29</v>
      </c>
      <c r="B48" s="10">
        <v>6470</v>
      </c>
      <c r="C48" s="15">
        <v>90</v>
      </c>
      <c r="D48" s="19">
        <v>62.5</v>
      </c>
      <c r="E48" s="20">
        <v>70.5</v>
      </c>
      <c r="F48" s="9">
        <v>44699</v>
      </c>
      <c r="G48" s="9">
        <v>44783</v>
      </c>
      <c r="H48" s="7" t="s">
        <v>1</v>
      </c>
    </row>
    <row r="49" spans="1:8" x14ac:dyDescent="0.3">
      <c r="A49" s="6" t="s">
        <v>29</v>
      </c>
      <c r="B49" s="10">
        <v>6470</v>
      </c>
      <c r="C49" s="15">
        <v>299</v>
      </c>
      <c r="D49" s="19">
        <v>65.7</v>
      </c>
      <c r="E49" s="20">
        <v>70.5</v>
      </c>
      <c r="F49" s="9">
        <v>44700</v>
      </c>
      <c r="G49" s="9">
        <v>44783</v>
      </c>
      <c r="H49" s="7" t="s">
        <v>1</v>
      </c>
    </row>
    <row r="50" spans="1:8" x14ac:dyDescent="0.3">
      <c r="A50" s="6" t="s">
        <v>30</v>
      </c>
      <c r="B50" s="6">
        <v>8928</v>
      </c>
      <c r="C50" s="15">
        <v>1000</v>
      </c>
      <c r="D50" s="19">
        <v>48.8</v>
      </c>
      <c r="E50" s="20">
        <v>45.7</v>
      </c>
      <c r="F50" s="9">
        <v>44712</v>
      </c>
      <c r="G50" s="9">
        <v>44720</v>
      </c>
      <c r="H50" s="7" t="s">
        <v>1</v>
      </c>
    </row>
    <row r="51" spans="1:8" x14ac:dyDescent="0.3">
      <c r="A51" s="6" t="s">
        <v>30</v>
      </c>
      <c r="B51" s="6">
        <v>8928</v>
      </c>
      <c r="C51" s="15">
        <v>1000</v>
      </c>
      <c r="D51" s="19">
        <v>50</v>
      </c>
      <c r="E51" s="20">
        <v>44.2</v>
      </c>
      <c r="F51" s="9">
        <v>44714</v>
      </c>
      <c r="G51" s="9">
        <v>44734</v>
      </c>
      <c r="H51" s="7" t="s">
        <v>1</v>
      </c>
    </row>
    <row r="52" spans="1:8" x14ac:dyDescent="0.3">
      <c r="A52" s="6" t="s">
        <v>31</v>
      </c>
      <c r="B52" s="6">
        <v>4116</v>
      </c>
      <c r="C52" s="15">
        <v>1000</v>
      </c>
      <c r="D52" s="19">
        <v>63.1</v>
      </c>
      <c r="E52" s="20">
        <v>77</v>
      </c>
      <c r="F52" s="9">
        <v>44719</v>
      </c>
      <c r="G52" s="9">
        <v>44721</v>
      </c>
      <c r="H52" s="7" t="s">
        <v>1</v>
      </c>
    </row>
    <row r="53" spans="1:8" x14ac:dyDescent="0.3">
      <c r="A53" s="6" t="s">
        <v>32</v>
      </c>
      <c r="B53" s="6">
        <v>3093</v>
      </c>
      <c r="C53" s="15">
        <v>30</v>
      </c>
      <c r="D53" s="19">
        <v>145</v>
      </c>
      <c r="E53" s="20">
        <v>133</v>
      </c>
      <c r="F53" s="9">
        <v>44720</v>
      </c>
      <c r="G53" s="9">
        <v>44726</v>
      </c>
      <c r="H53" s="7" t="s">
        <v>1</v>
      </c>
    </row>
    <row r="54" spans="1:8" x14ac:dyDescent="0.3">
      <c r="A54" s="6" t="s">
        <v>25</v>
      </c>
      <c r="B54" s="6">
        <v>4755</v>
      </c>
      <c r="C54" s="15">
        <v>100</v>
      </c>
      <c r="D54" s="19">
        <v>200</v>
      </c>
      <c r="E54" s="20">
        <v>173</v>
      </c>
      <c r="F54" s="9">
        <v>44721</v>
      </c>
      <c r="G54" s="9">
        <v>44734</v>
      </c>
      <c r="H54" s="7" t="s">
        <v>1</v>
      </c>
    </row>
    <row r="55" spans="1:8" x14ac:dyDescent="0.3">
      <c r="A55" s="6" t="s">
        <v>29</v>
      </c>
      <c r="B55" s="10">
        <v>6470</v>
      </c>
      <c r="C55" s="15">
        <v>1000</v>
      </c>
      <c r="D55" s="19">
        <v>73</v>
      </c>
      <c r="E55" s="20">
        <v>71.400000000000006</v>
      </c>
      <c r="F55" s="9">
        <v>44722</v>
      </c>
      <c r="G55" s="9">
        <v>44799</v>
      </c>
      <c r="H55" s="7" t="s">
        <v>1</v>
      </c>
    </row>
    <row r="56" spans="1:8" x14ac:dyDescent="0.3">
      <c r="A56" s="6" t="s">
        <v>32</v>
      </c>
      <c r="B56" s="6">
        <v>3093</v>
      </c>
      <c r="C56" s="15">
        <v>170</v>
      </c>
      <c r="D56" s="19">
        <v>145</v>
      </c>
      <c r="E56" s="20">
        <v>128</v>
      </c>
      <c r="F56" s="9">
        <v>44720</v>
      </c>
      <c r="G56" s="9">
        <v>44727</v>
      </c>
      <c r="H56" s="7" t="s">
        <v>1</v>
      </c>
    </row>
    <row r="57" spans="1:8" x14ac:dyDescent="0.3">
      <c r="A57" s="6" t="s">
        <v>33</v>
      </c>
      <c r="B57" s="10">
        <v>2734</v>
      </c>
      <c r="C57" s="15">
        <v>1000</v>
      </c>
      <c r="D57" s="19">
        <v>37.35</v>
      </c>
      <c r="E57" s="20">
        <v>36.5</v>
      </c>
      <c r="F57" s="9">
        <v>44727</v>
      </c>
      <c r="G57" s="9">
        <v>44817</v>
      </c>
      <c r="H57" s="7" t="s">
        <v>1</v>
      </c>
    </row>
    <row r="58" spans="1:8" x14ac:dyDescent="0.3">
      <c r="A58" s="6" t="s">
        <v>33</v>
      </c>
      <c r="B58" s="10">
        <v>2734</v>
      </c>
      <c r="C58" s="15">
        <v>1000</v>
      </c>
      <c r="D58" s="19">
        <v>36.85</v>
      </c>
      <c r="E58" s="20">
        <v>33.6</v>
      </c>
      <c r="F58" s="9">
        <v>44728</v>
      </c>
      <c r="G58" s="9">
        <v>44831</v>
      </c>
      <c r="H58" s="7" t="s">
        <v>1</v>
      </c>
    </row>
    <row r="59" spans="1:8" ht="15" x14ac:dyDescent="0.3">
      <c r="A59" s="10" t="s">
        <v>34</v>
      </c>
      <c r="B59" s="10">
        <v>6470</v>
      </c>
      <c r="C59" s="15">
        <v>1000</v>
      </c>
      <c r="D59" s="21">
        <v>66</v>
      </c>
      <c r="E59" s="20">
        <v>68.8</v>
      </c>
      <c r="F59" s="9">
        <v>44732</v>
      </c>
      <c r="G59" s="9">
        <v>44763</v>
      </c>
      <c r="H59" s="7" t="s">
        <v>1</v>
      </c>
    </row>
    <row r="60" spans="1:8" ht="15" x14ac:dyDescent="0.3">
      <c r="A60" s="10" t="s">
        <v>35</v>
      </c>
      <c r="B60" s="10">
        <v>8928</v>
      </c>
      <c r="C60" s="15">
        <v>1000</v>
      </c>
      <c r="D60" s="21">
        <v>43.8</v>
      </c>
      <c r="E60" s="20">
        <v>42.8</v>
      </c>
      <c r="F60" s="9">
        <v>44736</v>
      </c>
      <c r="G60" s="9">
        <v>44753</v>
      </c>
      <c r="H60" s="7" t="s">
        <v>1</v>
      </c>
    </row>
    <row r="61" spans="1:8" ht="15" x14ac:dyDescent="0.3">
      <c r="A61" s="10" t="s">
        <v>34</v>
      </c>
      <c r="B61" s="10">
        <v>6470</v>
      </c>
      <c r="C61" s="15">
        <v>1000</v>
      </c>
      <c r="D61" s="21">
        <v>66.099999999999994</v>
      </c>
      <c r="E61" s="20">
        <v>68.8</v>
      </c>
      <c r="F61" s="9">
        <v>44742</v>
      </c>
      <c r="G61" s="9">
        <v>44763</v>
      </c>
      <c r="H61" s="7" t="s">
        <v>1</v>
      </c>
    </row>
    <row r="62" spans="1:8" ht="15" x14ac:dyDescent="0.3">
      <c r="A62" s="10" t="s">
        <v>36</v>
      </c>
      <c r="B62" s="10">
        <v>2734</v>
      </c>
      <c r="C62" s="15">
        <v>1000</v>
      </c>
      <c r="D62" s="21">
        <v>37.25</v>
      </c>
      <c r="E62" s="20">
        <v>33.6</v>
      </c>
      <c r="F62" s="9">
        <v>44753</v>
      </c>
      <c r="G62" s="9">
        <v>44831</v>
      </c>
      <c r="H62" s="7" t="s">
        <v>1</v>
      </c>
    </row>
    <row r="63" spans="1:8" ht="15" x14ac:dyDescent="0.3">
      <c r="A63" s="10" t="s">
        <v>37</v>
      </c>
      <c r="B63" s="10">
        <v>2736</v>
      </c>
      <c r="C63" s="15">
        <v>3000</v>
      </c>
      <c r="D63" s="21">
        <v>27.3</v>
      </c>
      <c r="E63" s="20">
        <v>29</v>
      </c>
      <c r="F63" s="9">
        <v>44763</v>
      </c>
      <c r="G63" s="9">
        <v>44981</v>
      </c>
      <c r="H63" s="7" t="s">
        <v>1</v>
      </c>
    </row>
    <row r="64" spans="1:8" ht="15" x14ac:dyDescent="0.3">
      <c r="A64" s="10" t="s">
        <v>37</v>
      </c>
      <c r="B64" s="10">
        <v>2736</v>
      </c>
      <c r="C64" s="15">
        <v>1000</v>
      </c>
      <c r="D64" s="21">
        <v>26.7</v>
      </c>
      <c r="E64" s="20">
        <v>23.35</v>
      </c>
      <c r="F64" s="9">
        <v>44767</v>
      </c>
      <c r="G64" s="9">
        <v>44841</v>
      </c>
      <c r="H64" s="7" t="s">
        <v>1</v>
      </c>
    </row>
    <row r="65" spans="1:8" ht="15" x14ac:dyDescent="0.3">
      <c r="A65" s="10" t="s">
        <v>37</v>
      </c>
      <c r="B65" s="10">
        <v>2736</v>
      </c>
      <c r="C65" s="15">
        <v>1000</v>
      </c>
      <c r="D65" s="21">
        <v>27.6</v>
      </c>
      <c r="E65" s="20">
        <v>23.35</v>
      </c>
      <c r="F65" s="9">
        <v>44768</v>
      </c>
      <c r="G65" s="9">
        <v>44841</v>
      </c>
      <c r="H65" s="7" t="s">
        <v>1</v>
      </c>
    </row>
    <row r="66" spans="1:8" ht="15" x14ac:dyDescent="0.3">
      <c r="A66" s="10" t="s">
        <v>37</v>
      </c>
      <c r="B66" s="10">
        <v>2736</v>
      </c>
      <c r="C66" s="15">
        <v>1000</v>
      </c>
      <c r="D66" s="21">
        <v>25.5</v>
      </c>
      <c r="E66" s="20">
        <v>23.5</v>
      </c>
      <c r="F66" s="9">
        <v>44778</v>
      </c>
      <c r="G66" s="9">
        <v>44841</v>
      </c>
      <c r="H66" s="7" t="s">
        <v>1</v>
      </c>
    </row>
    <row r="67" spans="1:8" ht="15" x14ac:dyDescent="0.3">
      <c r="A67" s="10" t="s">
        <v>37</v>
      </c>
      <c r="B67" s="10">
        <v>2736</v>
      </c>
      <c r="C67" s="15">
        <v>1000</v>
      </c>
      <c r="D67" s="21">
        <v>26.35</v>
      </c>
      <c r="E67" s="20">
        <v>23.5</v>
      </c>
      <c r="F67" s="9">
        <v>44783</v>
      </c>
      <c r="G67" s="9">
        <v>44841</v>
      </c>
      <c r="H67" s="7" t="s">
        <v>1</v>
      </c>
    </row>
    <row r="68" spans="1:8" ht="15" x14ac:dyDescent="0.3">
      <c r="A68" s="10" t="s">
        <v>36</v>
      </c>
      <c r="B68" s="10">
        <v>2734</v>
      </c>
      <c r="C68" s="15">
        <v>1000</v>
      </c>
      <c r="D68" s="21">
        <v>34.200000000000003</v>
      </c>
      <c r="E68" s="20">
        <v>27.6</v>
      </c>
      <c r="F68" s="9">
        <v>44783</v>
      </c>
      <c r="G68" s="9">
        <v>44848</v>
      </c>
      <c r="H68" s="7" t="s">
        <v>1</v>
      </c>
    </row>
    <row r="69" spans="1:8" ht="15" x14ac:dyDescent="0.3">
      <c r="A69" s="10" t="s">
        <v>38</v>
      </c>
      <c r="B69" s="10">
        <v>6527</v>
      </c>
      <c r="C69" s="15">
        <v>1000</v>
      </c>
      <c r="D69" s="21">
        <v>59.6</v>
      </c>
      <c r="E69" s="20">
        <v>41.9</v>
      </c>
      <c r="F69" s="9">
        <v>44799</v>
      </c>
      <c r="G69" s="9">
        <v>44851</v>
      </c>
      <c r="H69" s="7" t="s">
        <v>1</v>
      </c>
    </row>
    <row r="70" spans="1:8" ht="15" x14ac:dyDescent="0.3">
      <c r="A70" s="10" t="s">
        <v>37</v>
      </c>
      <c r="B70" s="10">
        <v>2736</v>
      </c>
      <c r="C70" s="15">
        <v>1000</v>
      </c>
      <c r="D70" s="21">
        <v>25.15</v>
      </c>
      <c r="E70" s="20">
        <v>22.45</v>
      </c>
      <c r="F70" s="9">
        <v>44802</v>
      </c>
      <c r="G70" s="9">
        <v>44936</v>
      </c>
      <c r="H70" s="7" t="s">
        <v>1</v>
      </c>
    </row>
    <row r="71" spans="1:8" ht="15" x14ac:dyDescent="0.3">
      <c r="A71" s="10" t="s">
        <v>39</v>
      </c>
      <c r="B71" s="10">
        <v>4541</v>
      </c>
      <c r="C71" s="15">
        <v>2000</v>
      </c>
      <c r="D71" s="21">
        <v>35.799999999999997</v>
      </c>
      <c r="E71" s="20">
        <v>33.6</v>
      </c>
      <c r="F71" s="9">
        <v>44817</v>
      </c>
      <c r="G71" s="9">
        <v>44832</v>
      </c>
      <c r="H71" s="7" t="s">
        <v>1</v>
      </c>
    </row>
    <row r="72" spans="1:8" ht="15" x14ac:dyDescent="0.3">
      <c r="A72" s="10" t="s">
        <v>37</v>
      </c>
      <c r="B72" s="10">
        <v>2736</v>
      </c>
      <c r="C72" s="15">
        <v>2000</v>
      </c>
      <c r="D72" s="21">
        <v>22.8</v>
      </c>
      <c r="E72" s="20">
        <v>27.8</v>
      </c>
      <c r="F72" s="9">
        <v>44823</v>
      </c>
      <c r="G72" s="9">
        <v>44981</v>
      </c>
      <c r="H72" s="7" t="s">
        <v>1</v>
      </c>
    </row>
    <row r="73" spans="1:8" ht="15" x14ac:dyDescent="0.3">
      <c r="A73" s="10" t="s">
        <v>40</v>
      </c>
      <c r="B73" s="10">
        <v>2743</v>
      </c>
      <c r="C73" s="15">
        <v>1000</v>
      </c>
      <c r="D73" s="21">
        <v>60.1</v>
      </c>
      <c r="E73" s="20">
        <v>55</v>
      </c>
      <c r="F73" s="9">
        <v>44832</v>
      </c>
      <c r="G73" s="9">
        <v>44851</v>
      </c>
      <c r="H73" s="7" t="s">
        <v>1</v>
      </c>
    </row>
    <row r="74" spans="1:8" ht="15" x14ac:dyDescent="0.3">
      <c r="A74" s="10" t="s">
        <v>37</v>
      </c>
      <c r="B74" s="10">
        <v>2736</v>
      </c>
      <c r="C74" s="15">
        <v>2000</v>
      </c>
      <c r="D74" s="21">
        <v>20.2</v>
      </c>
      <c r="E74" s="20">
        <v>27.6</v>
      </c>
      <c r="F74" s="9">
        <v>44832</v>
      </c>
      <c r="G74" s="9">
        <v>44981</v>
      </c>
      <c r="H74" s="7" t="s">
        <v>1</v>
      </c>
    </row>
    <row r="75" spans="1:8" ht="15" x14ac:dyDescent="0.3">
      <c r="A75" s="10" t="s">
        <v>37</v>
      </c>
      <c r="B75" s="10">
        <v>2736</v>
      </c>
      <c r="C75" s="15">
        <v>3000</v>
      </c>
      <c r="D75" s="21">
        <v>21.65</v>
      </c>
      <c r="E75" s="20">
        <v>28</v>
      </c>
      <c r="F75" s="9">
        <v>44845</v>
      </c>
      <c r="G75" s="9">
        <v>44981</v>
      </c>
      <c r="H75" s="7" t="s">
        <v>1</v>
      </c>
    </row>
    <row r="76" spans="1:8" ht="15" x14ac:dyDescent="0.3">
      <c r="A76" s="10" t="s">
        <v>37</v>
      </c>
      <c r="B76" s="10">
        <v>2736</v>
      </c>
      <c r="C76" s="15">
        <v>1000</v>
      </c>
      <c r="D76" s="21">
        <v>19.45</v>
      </c>
      <c r="E76" s="20">
        <v>27.6</v>
      </c>
      <c r="F76" s="9">
        <v>44847</v>
      </c>
      <c r="G76" s="9">
        <v>44981</v>
      </c>
      <c r="H76" s="7" t="s">
        <v>1</v>
      </c>
    </row>
    <row r="77" spans="1:8" ht="15" x14ac:dyDescent="0.3">
      <c r="A77" s="10" t="s">
        <v>41</v>
      </c>
      <c r="B77" s="10">
        <v>2603</v>
      </c>
      <c r="C77" s="15">
        <v>300</v>
      </c>
      <c r="D77" s="21">
        <v>170</v>
      </c>
      <c r="E77" s="20">
        <f>106+70</f>
        <v>176</v>
      </c>
      <c r="F77" s="9">
        <v>44917</v>
      </c>
      <c r="G77" s="9">
        <v>45210</v>
      </c>
      <c r="H77" s="7" t="s">
        <v>1</v>
      </c>
    </row>
    <row r="78" spans="1:8" ht="15" x14ac:dyDescent="0.3">
      <c r="A78" s="10" t="s">
        <v>41</v>
      </c>
      <c r="B78" s="10">
        <v>2603</v>
      </c>
      <c r="C78" s="15">
        <v>200</v>
      </c>
      <c r="D78" s="21">
        <v>158.5</v>
      </c>
      <c r="E78" s="20">
        <f>106+70</f>
        <v>176</v>
      </c>
      <c r="F78" s="9">
        <v>44960</v>
      </c>
      <c r="G78" s="9">
        <v>45210</v>
      </c>
      <c r="H78" s="7" t="s">
        <v>1</v>
      </c>
    </row>
    <row r="79" spans="1:8" ht="15" x14ac:dyDescent="0.3">
      <c r="A79" s="10" t="s">
        <v>37</v>
      </c>
      <c r="B79" s="10">
        <v>2736</v>
      </c>
      <c r="C79" s="15">
        <v>1000</v>
      </c>
      <c r="D79" s="21">
        <v>23.2</v>
      </c>
      <c r="E79" s="20">
        <v>27.8</v>
      </c>
      <c r="F79" s="9">
        <v>44971</v>
      </c>
      <c r="G79" s="9">
        <v>44981</v>
      </c>
      <c r="H79" s="7" t="s">
        <v>1</v>
      </c>
    </row>
    <row r="80" spans="1:8" ht="15" x14ac:dyDescent="0.3">
      <c r="A80" s="10" t="s">
        <v>37</v>
      </c>
      <c r="B80" s="10">
        <v>2736</v>
      </c>
      <c r="C80" s="15">
        <v>1000</v>
      </c>
      <c r="D80" s="21">
        <v>19.45</v>
      </c>
      <c r="E80" s="20">
        <v>26.35</v>
      </c>
      <c r="F80" s="9">
        <v>44847</v>
      </c>
      <c r="G80" s="9">
        <v>44995</v>
      </c>
      <c r="H80" s="7" t="s">
        <v>1</v>
      </c>
    </row>
    <row r="81" spans="1:8" ht="15" x14ac:dyDescent="0.3">
      <c r="A81" s="25" t="s">
        <v>62</v>
      </c>
      <c r="B81" s="10">
        <v>3491</v>
      </c>
      <c r="C81" s="15">
        <v>200</v>
      </c>
      <c r="D81" s="21">
        <f>166-4</f>
        <v>162</v>
      </c>
      <c r="E81" s="20">
        <v>630</v>
      </c>
      <c r="F81" s="9">
        <v>44994</v>
      </c>
      <c r="G81" s="9">
        <v>46008</v>
      </c>
      <c r="H81" s="7" t="s">
        <v>1</v>
      </c>
    </row>
    <row r="82" spans="1:8" ht="15" x14ac:dyDescent="0.3">
      <c r="A82" s="25" t="s">
        <v>62</v>
      </c>
      <c r="B82" s="10">
        <v>3491</v>
      </c>
      <c r="C82" s="15">
        <v>362</v>
      </c>
      <c r="D82" s="21">
        <f>163-4</f>
        <v>159</v>
      </c>
      <c r="E82" s="20">
        <v>630</v>
      </c>
      <c r="F82" s="9">
        <v>44994</v>
      </c>
      <c r="G82" s="9">
        <v>46008</v>
      </c>
      <c r="H82" s="7" t="s">
        <v>1</v>
      </c>
    </row>
    <row r="83" spans="1:8" ht="15" x14ac:dyDescent="0.3">
      <c r="A83" s="25" t="s">
        <v>63</v>
      </c>
      <c r="B83" s="10">
        <v>2736</v>
      </c>
      <c r="C83" s="15">
        <v>2000</v>
      </c>
      <c r="D83" s="21">
        <v>27.65</v>
      </c>
      <c r="E83" s="20">
        <v>26.35</v>
      </c>
      <c r="F83" s="9">
        <v>44992</v>
      </c>
      <c r="G83" s="9">
        <v>44995</v>
      </c>
      <c r="H83" s="7" t="s">
        <v>1</v>
      </c>
    </row>
    <row r="84" spans="1:8" ht="15" x14ac:dyDescent="0.3">
      <c r="A84" s="25" t="s">
        <v>63</v>
      </c>
      <c r="B84" s="10">
        <v>2736</v>
      </c>
      <c r="C84" s="15">
        <v>2000</v>
      </c>
      <c r="D84" s="21">
        <v>27.05</v>
      </c>
      <c r="E84" s="20">
        <v>24.15</v>
      </c>
      <c r="F84" s="9">
        <v>44991</v>
      </c>
      <c r="G84" s="9">
        <v>44998</v>
      </c>
      <c r="H84" s="7" t="s">
        <v>1</v>
      </c>
    </row>
    <row r="85" spans="1:8" ht="15" x14ac:dyDescent="0.3">
      <c r="A85" s="25" t="s">
        <v>62</v>
      </c>
      <c r="B85" s="10">
        <v>3491</v>
      </c>
      <c r="C85" s="15">
        <v>200</v>
      </c>
      <c r="D85" s="21">
        <f>157-4</f>
        <v>153</v>
      </c>
      <c r="E85" s="20">
        <v>630</v>
      </c>
      <c r="F85" s="9">
        <v>44986</v>
      </c>
      <c r="G85" s="9">
        <v>46008</v>
      </c>
      <c r="H85" s="7" t="s">
        <v>1</v>
      </c>
    </row>
    <row r="86" spans="1:8" ht="15" x14ac:dyDescent="0.3">
      <c r="A86" s="25" t="s">
        <v>62</v>
      </c>
      <c r="B86" s="10">
        <v>3491</v>
      </c>
      <c r="C86" s="15">
        <v>200</v>
      </c>
      <c r="D86" s="21">
        <f>156-4</f>
        <v>152</v>
      </c>
      <c r="E86" s="20">
        <v>630</v>
      </c>
      <c r="F86" s="9">
        <v>44986</v>
      </c>
      <c r="G86" s="9">
        <v>46008</v>
      </c>
      <c r="H86" s="7" t="s">
        <v>1</v>
      </c>
    </row>
    <row r="87" spans="1:8" ht="15" x14ac:dyDescent="0.3">
      <c r="A87" s="25" t="s">
        <v>62</v>
      </c>
      <c r="B87" s="10">
        <v>3491</v>
      </c>
      <c r="C87" s="15">
        <v>38</v>
      </c>
      <c r="D87" s="21">
        <f>153-4</f>
        <v>149</v>
      </c>
      <c r="E87" s="20">
        <v>630</v>
      </c>
      <c r="F87" s="9">
        <v>44986</v>
      </c>
      <c r="G87" s="9">
        <v>46008</v>
      </c>
      <c r="H87" s="7" t="s">
        <v>1</v>
      </c>
    </row>
    <row r="88" spans="1:8" s="14" customFormat="1" ht="15" x14ac:dyDescent="0.3">
      <c r="A88" s="12" t="s">
        <v>42</v>
      </c>
      <c r="B88" s="12">
        <v>3491</v>
      </c>
      <c r="C88" s="16">
        <v>1000</v>
      </c>
      <c r="D88" s="22">
        <f>164-4</f>
        <v>160</v>
      </c>
      <c r="E88" s="23"/>
      <c r="F88" s="13">
        <v>44995</v>
      </c>
      <c r="G88" s="13"/>
      <c r="H88" s="12" t="s">
        <v>2</v>
      </c>
    </row>
    <row r="89" spans="1:8" ht="15" x14ac:dyDescent="0.3">
      <c r="A89" s="10" t="s">
        <v>43</v>
      </c>
      <c r="B89" s="10">
        <v>8176</v>
      </c>
      <c r="C89" s="15">
        <v>3000</v>
      </c>
      <c r="D89" s="21">
        <v>11.4</v>
      </c>
      <c r="E89" s="20">
        <v>12.25</v>
      </c>
      <c r="F89" s="9">
        <v>44999</v>
      </c>
      <c r="G89" s="9">
        <v>45009</v>
      </c>
      <c r="H89" s="7" t="s">
        <v>1</v>
      </c>
    </row>
    <row r="90" spans="1:8" ht="15" x14ac:dyDescent="0.3">
      <c r="A90" s="10" t="s">
        <v>43</v>
      </c>
      <c r="B90" s="10">
        <v>8176</v>
      </c>
      <c r="C90" s="15">
        <v>3000</v>
      </c>
      <c r="D90" s="21">
        <v>11.1</v>
      </c>
      <c r="E90" s="20">
        <v>12.25</v>
      </c>
      <c r="F90" s="9">
        <v>44999</v>
      </c>
      <c r="G90" s="9">
        <v>45009</v>
      </c>
      <c r="H90" s="7" t="s">
        <v>1</v>
      </c>
    </row>
    <row r="91" spans="1:8" ht="15" x14ac:dyDescent="0.3">
      <c r="A91" s="10" t="s">
        <v>44</v>
      </c>
      <c r="B91" s="10">
        <v>6278</v>
      </c>
      <c r="C91" s="15">
        <v>1000</v>
      </c>
      <c r="D91" s="21">
        <v>93.3</v>
      </c>
      <c r="E91" s="20">
        <f>97.6+7</f>
        <v>104.6</v>
      </c>
      <c r="F91" s="9">
        <v>45006</v>
      </c>
      <c r="G91" s="9">
        <v>45261</v>
      </c>
      <c r="H91" s="7" t="s">
        <v>1</v>
      </c>
    </row>
    <row r="92" spans="1:8" ht="15" x14ac:dyDescent="0.3">
      <c r="A92" s="10" t="s">
        <v>44</v>
      </c>
      <c r="B92" s="10">
        <v>6278</v>
      </c>
      <c r="C92" s="15">
        <v>500</v>
      </c>
      <c r="D92" s="21">
        <v>100</v>
      </c>
      <c r="E92" s="20">
        <f>96.1+7</f>
        <v>103.1</v>
      </c>
      <c r="F92" s="9">
        <v>45022</v>
      </c>
      <c r="G92" s="9">
        <v>45260</v>
      </c>
      <c r="H92" s="7" t="s">
        <v>1</v>
      </c>
    </row>
    <row r="93" spans="1:8" s="14" customFormat="1" ht="15" x14ac:dyDescent="0.3">
      <c r="A93" s="12" t="s">
        <v>42</v>
      </c>
      <c r="B93" s="12">
        <v>3491</v>
      </c>
      <c r="C93" s="16">
        <v>300</v>
      </c>
      <c r="D93" s="22">
        <f>186-4</f>
        <v>182</v>
      </c>
      <c r="E93" s="23"/>
      <c r="F93" s="13">
        <v>45028</v>
      </c>
      <c r="G93" s="13"/>
      <c r="H93" s="12" t="s">
        <v>2</v>
      </c>
    </row>
    <row r="94" spans="1:8" s="14" customFormat="1" ht="15" x14ac:dyDescent="0.3">
      <c r="A94" s="12" t="s">
        <v>42</v>
      </c>
      <c r="B94" s="12">
        <v>3491</v>
      </c>
      <c r="C94" s="16">
        <v>200</v>
      </c>
      <c r="D94" s="22">
        <f>176.5-4</f>
        <v>172.5</v>
      </c>
      <c r="E94" s="23"/>
      <c r="F94" s="13">
        <v>45030</v>
      </c>
      <c r="G94" s="13"/>
      <c r="H94" s="12" t="s">
        <v>2</v>
      </c>
    </row>
    <row r="95" spans="1:8" s="14" customFormat="1" ht="15" x14ac:dyDescent="0.3">
      <c r="A95" s="12" t="s">
        <v>42</v>
      </c>
      <c r="B95" s="12">
        <v>3491</v>
      </c>
      <c r="C95" s="16">
        <v>200</v>
      </c>
      <c r="D95" s="22">
        <f>161-4</f>
        <v>157</v>
      </c>
      <c r="E95" s="23"/>
      <c r="F95" s="13">
        <v>45041</v>
      </c>
      <c r="G95" s="13"/>
      <c r="H95" s="12" t="s">
        <v>2</v>
      </c>
    </row>
    <row r="96" spans="1:8" s="14" customFormat="1" ht="15" x14ac:dyDescent="0.3">
      <c r="A96" s="12" t="s">
        <v>42</v>
      </c>
      <c r="B96" s="12">
        <v>3491</v>
      </c>
      <c r="C96" s="16">
        <v>150</v>
      </c>
      <c r="D96" s="22">
        <f>174-4</f>
        <v>170</v>
      </c>
      <c r="E96" s="23"/>
      <c r="F96" s="13">
        <v>45078</v>
      </c>
      <c r="G96" s="13"/>
      <c r="H96" s="12" t="s">
        <v>2</v>
      </c>
    </row>
    <row r="97" spans="1:8" s="14" customFormat="1" ht="15" x14ac:dyDescent="0.3">
      <c r="A97" s="12" t="s">
        <v>42</v>
      </c>
      <c r="B97" s="12">
        <v>3491</v>
      </c>
      <c r="C97" s="16">
        <v>11</v>
      </c>
      <c r="D97" s="22">
        <f>173.5-4</f>
        <v>169.5</v>
      </c>
      <c r="E97" s="23"/>
      <c r="F97" s="13">
        <v>45078</v>
      </c>
      <c r="G97" s="13"/>
      <c r="H97" s="12" t="s">
        <v>2</v>
      </c>
    </row>
    <row r="98" spans="1:8" s="14" customFormat="1" ht="15" x14ac:dyDescent="0.3">
      <c r="A98" s="12" t="s">
        <v>42</v>
      </c>
      <c r="B98" s="12">
        <v>3491</v>
      </c>
      <c r="C98" s="16">
        <v>139</v>
      </c>
      <c r="D98" s="22">
        <f>172.5-4</f>
        <v>168.5</v>
      </c>
      <c r="E98" s="23"/>
      <c r="F98" s="13">
        <v>45079</v>
      </c>
      <c r="G98" s="13"/>
      <c r="H98" s="12" t="s">
        <v>2</v>
      </c>
    </row>
    <row r="99" spans="1:8" ht="15" x14ac:dyDescent="0.3">
      <c r="A99" s="10" t="s">
        <v>45</v>
      </c>
      <c r="B99" s="10">
        <v>2457</v>
      </c>
      <c r="C99" s="15">
        <v>600</v>
      </c>
      <c r="D99" s="21">
        <v>79.5</v>
      </c>
      <c r="E99" s="20">
        <v>64.8</v>
      </c>
      <c r="F99" s="9">
        <v>45112</v>
      </c>
      <c r="G99" s="9">
        <v>45180</v>
      </c>
      <c r="H99" s="7" t="s">
        <v>1</v>
      </c>
    </row>
    <row r="100" spans="1:8" ht="15" x14ac:dyDescent="0.3">
      <c r="A100" s="10" t="s">
        <v>45</v>
      </c>
      <c r="B100" s="10">
        <v>2457</v>
      </c>
      <c r="C100" s="15">
        <v>306</v>
      </c>
      <c r="D100" s="21">
        <v>66.5</v>
      </c>
      <c r="E100" s="20">
        <v>63.9</v>
      </c>
      <c r="F100" s="9">
        <v>45154</v>
      </c>
      <c r="G100" s="9">
        <v>45180</v>
      </c>
      <c r="H100" s="7" t="s">
        <v>1</v>
      </c>
    </row>
    <row r="101" spans="1:8" ht="15" x14ac:dyDescent="0.3">
      <c r="A101" s="10" t="s">
        <v>45</v>
      </c>
      <c r="B101" s="10">
        <v>2457</v>
      </c>
      <c r="C101" s="15">
        <v>294</v>
      </c>
      <c r="D101" s="21">
        <v>68.599999999999994</v>
      </c>
      <c r="E101" s="20">
        <v>63.95</v>
      </c>
      <c r="F101" s="9">
        <v>45160</v>
      </c>
      <c r="G101" s="9">
        <v>45180</v>
      </c>
      <c r="H101" s="7" t="s">
        <v>1</v>
      </c>
    </row>
    <row r="102" spans="1:8" s="14" customFormat="1" ht="15" x14ac:dyDescent="0.3">
      <c r="A102" s="12" t="s">
        <v>42</v>
      </c>
      <c r="B102" s="12">
        <v>3491</v>
      </c>
      <c r="C102" s="16">
        <v>150</v>
      </c>
      <c r="D102" s="22">
        <v>149</v>
      </c>
      <c r="E102" s="23"/>
      <c r="F102" s="13">
        <v>45163</v>
      </c>
      <c r="G102" s="13"/>
      <c r="H102" s="12" t="s">
        <v>2</v>
      </c>
    </row>
    <row r="103" spans="1:8" s="14" customFormat="1" ht="15" x14ac:dyDescent="0.3">
      <c r="A103" s="12" t="s">
        <v>42</v>
      </c>
      <c r="B103" s="12">
        <v>3491</v>
      </c>
      <c r="C103" s="16">
        <v>150</v>
      </c>
      <c r="D103" s="22">
        <v>152</v>
      </c>
      <c r="E103" s="23"/>
      <c r="F103" s="13">
        <v>45167</v>
      </c>
      <c r="G103" s="13"/>
      <c r="H103" s="12" t="s">
        <v>2</v>
      </c>
    </row>
    <row r="104" spans="1:8" s="14" customFormat="1" ht="15" x14ac:dyDescent="0.3">
      <c r="A104" s="12" t="s">
        <v>42</v>
      </c>
      <c r="B104" s="12">
        <v>3491</v>
      </c>
      <c r="C104" s="16">
        <v>150</v>
      </c>
      <c r="D104" s="22">
        <v>155</v>
      </c>
      <c r="E104" s="23"/>
      <c r="F104" s="13">
        <v>45175</v>
      </c>
      <c r="G104" s="13"/>
      <c r="H104" s="12" t="s">
        <v>2</v>
      </c>
    </row>
    <row r="105" spans="1:8" ht="15" x14ac:dyDescent="0.3">
      <c r="A105" s="10" t="s">
        <v>46</v>
      </c>
      <c r="B105" s="10">
        <v>2603</v>
      </c>
      <c r="C105" s="15">
        <v>200</v>
      </c>
      <c r="D105" s="21">
        <v>112</v>
      </c>
      <c r="E105" s="20">
        <v>103.5</v>
      </c>
      <c r="F105" s="9">
        <v>45184</v>
      </c>
      <c r="G105" s="9">
        <v>45222</v>
      </c>
      <c r="H105" s="7" t="s">
        <v>1</v>
      </c>
    </row>
    <row r="106" spans="1:8" ht="15" x14ac:dyDescent="0.3">
      <c r="A106" s="10" t="s">
        <v>46</v>
      </c>
      <c r="B106" s="10">
        <v>2603</v>
      </c>
      <c r="C106" s="15">
        <v>200</v>
      </c>
      <c r="D106" s="21">
        <v>117.5</v>
      </c>
      <c r="E106" s="20">
        <v>103.5</v>
      </c>
      <c r="F106" s="9">
        <v>45184</v>
      </c>
      <c r="G106" s="9">
        <v>45222</v>
      </c>
      <c r="H106" s="7" t="s">
        <v>1</v>
      </c>
    </row>
    <row r="107" spans="1:8" ht="15" x14ac:dyDescent="0.3">
      <c r="A107" s="10" t="s">
        <v>47</v>
      </c>
      <c r="B107" s="10">
        <v>6782</v>
      </c>
      <c r="C107" s="15">
        <v>100</v>
      </c>
      <c r="D107" s="21">
        <v>203</v>
      </c>
      <c r="E107" s="20">
        <v>137</v>
      </c>
      <c r="F107" s="9">
        <v>45203</v>
      </c>
      <c r="G107" s="9">
        <v>45755</v>
      </c>
      <c r="H107" s="7" t="s">
        <v>1</v>
      </c>
    </row>
    <row r="108" spans="1:8" ht="15" x14ac:dyDescent="0.3">
      <c r="A108" s="10" t="s">
        <v>47</v>
      </c>
      <c r="B108" s="10">
        <v>6782</v>
      </c>
      <c r="C108" s="15">
        <v>100</v>
      </c>
      <c r="D108" s="21">
        <v>205</v>
      </c>
      <c r="E108" s="20">
        <v>241.52</v>
      </c>
      <c r="F108" s="9">
        <v>45203</v>
      </c>
      <c r="G108" s="9">
        <v>45299</v>
      </c>
      <c r="H108" s="7" t="s">
        <v>1</v>
      </c>
    </row>
    <row r="109" spans="1:8" ht="15" x14ac:dyDescent="0.3">
      <c r="A109" s="10" t="s">
        <v>47</v>
      </c>
      <c r="B109" s="10">
        <v>6782</v>
      </c>
      <c r="C109" s="15">
        <v>150</v>
      </c>
      <c r="D109" s="21">
        <v>196.5</v>
      </c>
      <c r="E109" s="20">
        <v>241.52</v>
      </c>
      <c r="F109" s="9">
        <v>45211</v>
      </c>
      <c r="G109" s="9">
        <v>45299</v>
      </c>
      <c r="H109" s="7" t="s">
        <v>1</v>
      </c>
    </row>
    <row r="110" spans="1:8" ht="15" x14ac:dyDescent="0.3">
      <c r="A110" s="10" t="s">
        <v>47</v>
      </c>
      <c r="B110" s="10">
        <v>6782</v>
      </c>
      <c r="C110" s="15">
        <v>150</v>
      </c>
      <c r="D110" s="21">
        <v>194</v>
      </c>
      <c r="E110" s="20">
        <v>137</v>
      </c>
      <c r="F110" s="9">
        <v>45212</v>
      </c>
      <c r="G110" s="9">
        <v>45755</v>
      </c>
      <c r="H110" s="7" t="s">
        <v>1</v>
      </c>
    </row>
    <row r="111" spans="1:8" ht="15" x14ac:dyDescent="0.3">
      <c r="A111" s="10" t="s">
        <v>48</v>
      </c>
      <c r="B111" s="10">
        <v>3037</v>
      </c>
      <c r="C111" s="15">
        <v>200</v>
      </c>
      <c r="D111" s="21">
        <v>162</v>
      </c>
      <c r="E111" s="20">
        <v>152.5</v>
      </c>
      <c r="F111" s="9">
        <v>45222</v>
      </c>
      <c r="G111" s="9">
        <v>45223</v>
      </c>
      <c r="H111" s="7" t="s">
        <v>1</v>
      </c>
    </row>
    <row r="112" spans="1:8" ht="15" x14ac:dyDescent="0.3">
      <c r="A112" s="10" t="s">
        <v>47</v>
      </c>
      <c r="B112" s="10">
        <v>6782</v>
      </c>
      <c r="C112" s="15">
        <v>150</v>
      </c>
      <c r="D112" s="21">
        <v>184</v>
      </c>
      <c r="E112" s="20">
        <v>137</v>
      </c>
      <c r="F112" s="9">
        <v>45222</v>
      </c>
      <c r="G112" s="9">
        <v>45755</v>
      </c>
      <c r="H112" s="7" t="s">
        <v>1</v>
      </c>
    </row>
    <row r="113" spans="1:8" ht="15" x14ac:dyDescent="0.3">
      <c r="A113" s="10" t="s">
        <v>49</v>
      </c>
      <c r="B113" s="10">
        <v>6782</v>
      </c>
      <c r="C113" s="15">
        <v>300</v>
      </c>
      <c r="D113" s="21">
        <v>106.5</v>
      </c>
      <c r="E113" s="20">
        <v>109</v>
      </c>
      <c r="F113" s="9">
        <v>45223</v>
      </c>
      <c r="G113" s="9">
        <v>45243</v>
      </c>
      <c r="H113" s="7" t="s">
        <v>1</v>
      </c>
    </row>
    <row r="114" spans="1:8" ht="15" x14ac:dyDescent="0.3">
      <c r="A114" s="10" t="s">
        <v>47</v>
      </c>
      <c r="B114" s="10">
        <v>6782</v>
      </c>
      <c r="C114" s="15">
        <v>100</v>
      </c>
      <c r="D114" s="21">
        <v>198</v>
      </c>
      <c r="E114" s="20">
        <v>137</v>
      </c>
      <c r="F114" s="9">
        <v>45238</v>
      </c>
      <c r="G114" s="9">
        <v>45755</v>
      </c>
      <c r="H114" s="7" t="s">
        <v>1</v>
      </c>
    </row>
    <row r="115" spans="1:8" s="14" customFormat="1" ht="15" x14ac:dyDescent="0.3">
      <c r="A115" s="12" t="s">
        <v>42</v>
      </c>
      <c r="B115" s="12">
        <v>3491</v>
      </c>
      <c r="C115" s="16">
        <v>100</v>
      </c>
      <c r="D115" s="22">
        <v>165.5</v>
      </c>
      <c r="E115" s="23"/>
      <c r="F115" s="13">
        <v>45245</v>
      </c>
      <c r="G115" s="13"/>
      <c r="H115" s="12" t="s">
        <v>2</v>
      </c>
    </row>
    <row r="116" spans="1:8" s="14" customFormat="1" ht="15" x14ac:dyDescent="0.3">
      <c r="A116" s="12" t="s">
        <v>42</v>
      </c>
      <c r="B116" s="12">
        <v>3491</v>
      </c>
      <c r="C116" s="16">
        <v>100</v>
      </c>
      <c r="D116" s="22">
        <v>167.5</v>
      </c>
      <c r="E116" s="23"/>
      <c r="F116" s="13">
        <v>45247</v>
      </c>
      <c r="G116" s="13"/>
      <c r="H116" s="12" t="s">
        <v>2</v>
      </c>
    </row>
    <row r="117" spans="1:8" ht="15" x14ac:dyDescent="0.3">
      <c r="A117" s="10" t="s">
        <v>50</v>
      </c>
      <c r="B117" s="10">
        <v>2305</v>
      </c>
      <c r="C117" s="15">
        <v>1000</v>
      </c>
      <c r="D117" s="21">
        <v>23.15</v>
      </c>
      <c r="E117" s="20">
        <v>23.55</v>
      </c>
      <c r="F117" s="9">
        <v>45260</v>
      </c>
      <c r="G117" s="9">
        <v>45461</v>
      </c>
      <c r="H117" s="7" t="s">
        <v>1</v>
      </c>
    </row>
    <row r="118" spans="1:8" ht="15" x14ac:dyDescent="0.3">
      <c r="A118" s="10" t="s">
        <v>50</v>
      </c>
      <c r="B118" s="10">
        <v>2305</v>
      </c>
      <c r="C118" s="15">
        <v>1000</v>
      </c>
      <c r="D118" s="21">
        <v>23.3</v>
      </c>
      <c r="E118" s="20">
        <v>23.55</v>
      </c>
      <c r="F118" s="9">
        <v>45260</v>
      </c>
      <c r="G118" s="9">
        <v>45461</v>
      </c>
      <c r="H118" s="7" t="s">
        <v>1</v>
      </c>
    </row>
    <row r="119" spans="1:8" s="14" customFormat="1" ht="15" x14ac:dyDescent="0.3">
      <c r="A119" s="12" t="s">
        <v>42</v>
      </c>
      <c r="B119" s="12">
        <v>3491</v>
      </c>
      <c r="C119" s="16">
        <v>100</v>
      </c>
      <c r="D119" s="22">
        <v>168</v>
      </c>
      <c r="E119" s="23"/>
      <c r="F119" s="13">
        <v>45267</v>
      </c>
      <c r="G119" s="13"/>
      <c r="H119" s="12" t="s">
        <v>2</v>
      </c>
    </row>
    <row r="120" spans="1:8" s="14" customFormat="1" ht="15" x14ac:dyDescent="0.3">
      <c r="A120" s="12" t="s">
        <v>42</v>
      </c>
      <c r="B120" s="12">
        <v>3491</v>
      </c>
      <c r="C120" s="16">
        <v>100</v>
      </c>
      <c r="D120" s="22">
        <v>166.5</v>
      </c>
      <c r="E120" s="23"/>
      <c r="F120" s="13">
        <v>45267</v>
      </c>
      <c r="G120" s="13"/>
      <c r="H120" s="12" t="s">
        <v>2</v>
      </c>
    </row>
    <row r="121" spans="1:8" s="14" customFormat="1" ht="15" x14ac:dyDescent="0.3">
      <c r="A121" s="12" t="s">
        <v>42</v>
      </c>
      <c r="B121" s="12">
        <v>3491</v>
      </c>
      <c r="C121" s="16">
        <v>100</v>
      </c>
      <c r="D121" s="22">
        <v>162</v>
      </c>
      <c r="E121" s="23"/>
      <c r="F121" s="13">
        <v>45280</v>
      </c>
      <c r="G121" s="13"/>
      <c r="H121" s="12" t="s">
        <v>2</v>
      </c>
    </row>
    <row r="122" spans="1:8" ht="15" x14ac:dyDescent="0.3">
      <c r="A122" s="10" t="s">
        <v>50</v>
      </c>
      <c r="B122" s="10">
        <v>2305</v>
      </c>
      <c r="C122" s="15">
        <v>1000</v>
      </c>
      <c r="D122" s="21">
        <v>22.7</v>
      </c>
      <c r="E122" s="20">
        <v>23.55</v>
      </c>
      <c r="F122" s="9">
        <v>45289</v>
      </c>
      <c r="G122" s="9">
        <v>45461</v>
      </c>
      <c r="H122" s="7" t="s">
        <v>1</v>
      </c>
    </row>
    <row r="123" spans="1:8" ht="15" x14ac:dyDescent="0.3">
      <c r="A123" s="10" t="s">
        <v>45</v>
      </c>
      <c r="B123" s="10">
        <v>2457</v>
      </c>
      <c r="C123" s="15">
        <v>250</v>
      </c>
      <c r="D123" s="21">
        <v>59</v>
      </c>
      <c r="E123" s="20">
        <v>60.9</v>
      </c>
      <c r="F123" s="9">
        <v>45289</v>
      </c>
      <c r="G123" s="9">
        <v>45355</v>
      </c>
      <c r="H123" s="7" t="s">
        <v>1</v>
      </c>
    </row>
    <row r="124" spans="1:8" ht="15" x14ac:dyDescent="0.3">
      <c r="A124" s="10" t="s">
        <v>50</v>
      </c>
      <c r="B124" s="10">
        <v>2305</v>
      </c>
      <c r="C124" s="15">
        <v>2000</v>
      </c>
      <c r="D124" s="21">
        <v>22.1</v>
      </c>
      <c r="E124" s="20">
        <v>23.2</v>
      </c>
      <c r="F124" s="9">
        <v>45301</v>
      </c>
      <c r="G124" s="9">
        <v>45468</v>
      </c>
      <c r="H124" s="7" t="s">
        <v>1</v>
      </c>
    </row>
    <row r="125" spans="1:8" ht="15" x14ac:dyDescent="0.3">
      <c r="A125" s="10" t="s">
        <v>50</v>
      </c>
      <c r="B125" s="10">
        <v>2305</v>
      </c>
      <c r="C125" s="15">
        <v>1000</v>
      </c>
      <c r="D125" s="21">
        <v>22.6</v>
      </c>
      <c r="E125" s="20">
        <v>23.15</v>
      </c>
      <c r="F125" s="9">
        <v>45302</v>
      </c>
      <c r="G125" s="9">
        <v>45469</v>
      </c>
      <c r="H125" s="7" t="s">
        <v>1</v>
      </c>
    </row>
    <row r="126" spans="1:8" ht="15" x14ac:dyDescent="0.3">
      <c r="A126" s="10" t="s">
        <v>50</v>
      </c>
      <c r="B126" s="10">
        <v>2305</v>
      </c>
      <c r="C126" s="15">
        <v>1000</v>
      </c>
      <c r="D126" s="21">
        <v>23.05</v>
      </c>
      <c r="E126" s="20">
        <v>23.3</v>
      </c>
      <c r="F126" s="9">
        <v>45302</v>
      </c>
      <c r="G126" s="9">
        <v>45471</v>
      </c>
      <c r="H126" s="7" t="s">
        <v>1</v>
      </c>
    </row>
    <row r="127" spans="1:8" s="14" customFormat="1" ht="15" x14ac:dyDescent="0.3">
      <c r="A127" s="12" t="s">
        <v>42</v>
      </c>
      <c r="B127" s="12">
        <v>3491</v>
      </c>
      <c r="C127" s="16">
        <v>150</v>
      </c>
      <c r="D127" s="22">
        <v>157</v>
      </c>
      <c r="E127" s="23"/>
      <c r="F127" s="13">
        <v>45324</v>
      </c>
      <c r="G127" s="13"/>
      <c r="H127" s="12" t="s">
        <v>2</v>
      </c>
    </row>
    <row r="128" spans="1:8" ht="15" x14ac:dyDescent="0.3">
      <c r="A128" s="10" t="s">
        <v>47</v>
      </c>
      <c r="B128" s="10">
        <v>6782</v>
      </c>
      <c r="C128" s="15">
        <v>100</v>
      </c>
      <c r="D128" s="21">
        <v>260.5</v>
      </c>
      <c r="E128" s="20">
        <v>137</v>
      </c>
      <c r="F128" s="9">
        <v>45327</v>
      </c>
      <c r="G128" s="9">
        <v>45755</v>
      </c>
      <c r="H128" s="7" t="s">
        <v>1</v>
      </c>
    </row>
    <row r="129" spans="1:8" ht="15" x14ac:dyDescent="0.3">
      <c r="A129" s="10" t="s">
        <v>50</v>
      </c>
      <c r="B129" s="10">
        <v>2305</v>
      </c>
      <c r="C129" s="15">
        <v>3000</v>
      </c>
      <c r="D129" s="21">
        <v>23.1</v>
      </c>
      <c r="E129" s="20">
        <v>23.15</v>
      </c>
      <c r="F129" s="9">
        <v>45337</v>
      </c>
      <c r="G129" s="9">
        <v>45469</v>
      </c>
      <c r="H129" s="7" t="s">
        <v>1</v>
      </c>
    </row>
    <row r="130" spans="1:8" ht="15" x14ac:dyDescent="0.3">
      <c r="A130" s="10" t="s">
        <v>50</v>
      </c>
      <c r="B130" s="10">
        <v>2305</v>
      </c>
      <c r="C130" s="15">
        <v>3000</v>
      </c>
      <c r="D130" s="21">
        <v>24</v>
      </c>
      <c r="E130" s="20">
        <v>23.3</v>
      </c>
      <c r="F130" s="9">
        <v>45338</v>
      </c>
      <c r="G130" s="9">
        <v>45471</v>
      </c>
      <c r="H130" s="7" t="s">
        <v>1</v>
      </c>
    </row>
    <row r="131" spans="1:8" s="14" customFormat="1" ht="15" x14ac:dyDescent="0.3">
      <c r="A131" s="12" t="s">
        <v>42</v>
      </c>
      <c r="B131" s="12">
        <v>3491</v>
      </c>
      <c r="C131" s="16">
        <v>150</v>
      </c>
      <c r="D131" s="22">
        <v>160.5</v>
      </c>
      <c r="E131" s="23"/>
      <c r="F131" s="13">
        <v>45338</v>
      </c>
      <c r="G131" s="13"/>
      <c r="H131" s="12" t="s">
        <v>2</v>
      </c>
    </row>
    <row r="132" spans="1:8" ht="15" x14ac:dyDescent="0.3">
      <c r="A132" s="10" t="s">
        <v>47</v>
      </c>
      <c r="B132" s="10">
        <v>6782</v>
      </c>
      <c r="C132" s="15">
        <v>150</v>
      </c>
      <c r="D132" s="21">
        <v>263</v>
      </c>
      <c r="E132" s="20">
        <v>137</v>
      </c>
      <c r="F132" s="9">
        <v>45341</v>
      </c>
      <c r="G132" s="9">
        <v>45755</v>
      </c>
      <c r="H132" s="7" t="s">
        <v>1</v>
      </c>
    </row>
    <row r="133" spans="1:8" ht="15" x14ac:dyDescent="0.3">
      <c r="A133" s="10" t="s">
        <v>50</v>
      </c>
      <c r="B133" s="10">
        <v>2305</v>
      </c>
      <c r="C133" s="15">
        <v>2000</v>
      </c>
      <c r="D133" s="21">
        <v>24.1</v>
      </c>
      <c r="E133" s="20">
        <v>23.2</v>
      </c>
      <c r="F133" s="9">
        <v>45345</v>
      </c>
      <c r="G133" s="9">
        <v>45471</v>
      </c>
      <c r="H133" s="7" t="s">
        <v>1</v>
      </c>
    </row>
    <row r="134" spans="1:8" ht="15" x14ac:dyDescent="0.3">
      <c r="A134" s="10" t="s">
        <v>50</v>
      </c>
      <c r="B134" s="10">
        <v>2305</v>
      </c>
      <c r="C134" s="15">
        <v>2000</v>
      </c>
      <c r="D134" s="21">
        <v>24.85</v>
      </c>
      <c r="E134" s="20">
        <v>23.2</v>
      </c>
      <c r="F134" s="9">
        <v>45348</v>
      </c>
      <c r="G134" s="9">
        <v>45471</v>
      </c>
      <c r="H134" s="7" t="s">
        <v>1</v>
      </c>
    </row>
    <row r="135" spans="1:8" ht="15" x14ac:dyDescent="0.3">
      <c r="A135" s="10" t="s">
        <v>50</v>
      </c>
      <c r="B135" s="10">
        <v>2305</v>
      </c>
      <c r="C135" s="15">
        <v>1000</v>
      </c>
      <c r="D135" s="21">
        <v>25.7</v>
      </c>
      <c r="E135" s="20">
        <v>21.55</v>
      </c>
      <c r="F135" s="9">
        <v>45349</v>
      </c>
      <c r="G135" s="9">
        <v>45509</v>
      </c>
      <c r="H135" s="7" t="s">
        <v>1</v>
      </c>
    </row>
    <row r="136" spans="1:8" ht="15" x14ac:dyDescent="0.3">
      <c r="A136" s="10" t="s">
        <v>50</v>
      </c>
      <c r="B136" s="10">
        <v>2305</v>
      </c>
      <c r="C136" s="15">
        <v>2000</v>
      </c>
      <c r="D136" s="21">
        <v>27</v>
      </c>
      <c r="E136" s="20">
        <v>25</v>
      </c>
      <c r="F136" s="9">
        <v>45352</v>
      </c>
      <c r="G136" s="9">
        <v>45485</v>
      </c>
      <c r="H136" s="7" t="s">
        <v>1</v>
      </c>
    </row>
    <row r="137" spans="1:8" ht="15" x14ac:dyDescent="0.3">
      <c r="A137" s="10" t="s">
        <v>51</v>
      </c>
      <c r="B137" s="10">
        <v>4162</v>
      </c>
      <c r="C137" s="15">
        <v>300</v>
      </c>
      <c r="D137" s="21">
        <v>101.5</v>
      </c>
      <c r="E137" s="20">
        <v>93.5</v>
      </c>
      <c r="F137" s="9">
        <v>45355</v>
      </c>
      <c r="G137" s="9">
        <v>45418</v>
      </c>
      <c r="H137" s="7" t="s">
        <v>1</v>
      </c>
    </row>
    <row r="138" spans="1:8" ht="15" x14ac:dyDescent="0.3">
      <c r="A138" s="10" t="s">
        <v>47</v>
      </c>
      <c r="B138" s="10">
        <v>6782</v>
      </c>
      <c r="C138" s="15">
        <v>150</v>
      </c>
      <c r="D138" s="21">
        <v>248</v>
      </c>
      <c r="E138" s="20">
        <v>137</v>
      </c>
      <c r="F138" s="9">
        <v>45418</v>
      </c>
      <c r="G138" s="9">
        <v>45755</v>
      </c>
      <c r="H138" s="7" t="s">
        <v>1</v>
      </c>
    </row>
    <row r="139" spans="1:8" ht="15" x14ac:dyDescent="0.3">
      <c r="A139" s="10" t="s">
        <v>47</v>
      </c>
      <c r="B139" s="10">
        <v>6782</v>
      </c>
      <c r="C139" s="15">
        <v>250</v>
      </c>
      <c r="D139" s="21">
        <v>229</v>
      </c>
      <c r="E139" s="20">
        <v>137</v>
      </c>
      <c r="F139" s="9">
        <v>45379</v>
      </c>
      <c r="G139" s="9">
        <v>45755</v>
      </c>
      <c r="H139" s="7" t="s">
        <v>1</v>
      </c>
    </row>
    <row r="140" spans="1:8" s="14" customFormat="1" ht="15" x14ac:dyDescent="0.3">
      <c r="A140" s="12" t="s">
        <v>42</v>
      </c>
      <c r="B140" s="12">
        <v>3491</v>
      </c>
      <c r="C140" s="16">
        <v>150</v>
      </c>
      <c r="D140" s="22">
        <v>170</v>
      </c>
      <c r="E140" s="23"/>
      <c r="F140" s="13">
        <v>45390</v>
      </c>
      <c r="G140" s="13"/>
      <c r="H140" s="12" t="s">
        <v>2</v>
      </c>
    </row>
    <row r="141" spans="1:8" ht="15" x14ac:dyDescent="0.3">
      <c r="A141" s="10" t="s">
        <v>47</v>
      </c>
      <c r="B141" s="10">
        <v>6782</v>
      </c>
      <c r="C141" s="15">
        <v>250</v>
      </c>
      <c r="D141" s="21">
        <v>260</v>
      </c>
      <c r="E141" s="20">
        <v>137</v>
      </c>
      <c r="F141" s="9">
        <v>45362</v>
      </c>
      <c r="G141" s="9">
        <v>45755</v>
      </c>
      <c r="H141" s="7" t="s">
        <v>1</v>
      </c>
    </row>
    <row r="142" spans="1:8" ht="15" x14ac:dyDescent="0.3">
      <c r="A142" s="10" t="s">
        <v>50</v>
      </c>
      <c r="B142" s="10">
        <v>2305</v>
      </c>
      <c r="C142" s="15">
        <v>2000</v>
      </c>
      <c r="D142" s="21">
        <v>29.65</v>
      </c>
      <c r="E142" s="20">
        <v>25</v>
      </c>
      <c r="F142" s="9">
        <v>45356</v>
      </c>
      <c r="G142" s="9">
        <v>45491</v>
      </c>
      <c r="H142" s="7" t="s">
        <v>1</v>
      </c>
    </row>
    <row r="143" spans="1:8" ht="15" x14ac:dyDescent="0.3">
      <c r="A143" s="10" t="s">
        <v>50</v>
      </c>
      <c r="B143" s="10">
        <v>2305</v>
      </c>
      <c r="C143" s="15">
        <v>2000</v>
      </c>
      <c r="D143" s="21">
        <v>27.75</v>
      </c>
      <c r="E143" s="20">
        <v>21.55</v>
      </c>
      <c r="F143" s="9">
        <v>45356</v>
      </c>
      <c r="G143" s="9">
        <v>45509</v>
      </c>
      <c r="H143" s="7" t="s">
        <v>1</v>
      </c>
    </row>
    <row r="144" spans="1:8" ht="15" x14ac:dyDescent="0.3">
      <c r="A144" s="10" t="s">
        <v>50</v>
      </c>
      <c r="B144" s="10">
        <v>2305</v>
      </c>
      <c r="C144" s="15">
        <v>2000</v>
      </c>
      <c r="D144" s="21">
        <v>25.55</v>
      </c>
      <c r="E144" s="20">
        <v>21.55</v>
      </c>
      <c r="F144" s="9">
        <v>45359</v>
      </c>
      <c r="G144" s="9">
        <v>45509</v>
      </c>
      <c r="H144" s="7" t="s">
        <v>1</v>
      </c>
    </row>
    <row r="145" spans="1:8" ht="15" x14ac:dyDescent="0.3">
      <c r="A145" s="10" t="s">
        <v>50</v>
      </c>
      <c r="B145" s="10">
        <v>2305</v>
      </c>
      <c r="C145" s="15">
        <v>2000</v>
      </c>
      <c r="D145" s="21">
        <v>25</v>
      </c>
      <c r="E145" s="20">
        <v>21.55</v>
      </c>
      <c r="F145" s="9">
        <v>45371</v>
      </c>
      <c r="G145" s="9">
        <v>45509</v>
      </c>
      <c r="H145" s="7" t="s">
        <v>1</v>
      </c>
    </row>
    <row r="146" spans="1:8" ht="15" x14ac:dyDescent="0.3">
      <c r="A146" s="10" t="s">
        <v>52</v>
      </c>
      <c r="B146" s="10">
        <v>6152</v>
      </c>
      <c r="C146" s="15">
        <v>8000</v>
      </c>
      <c r="D146" s="21">
        <v>12.15</v>
      </c>
      <c r="E146" s="20">
        <f>(16.5*7+16.2*1)/8</f>
        <v>16.462499999999999</v>
      </c>
      <c r="F146" s="9">
        <v>45454</v>
      </c>
      <c r="G146" s="9">
        <v>45476</v>
      </c>
      <c r="H146" s="7" t="s">
        <v>1</v>
      </c>
    </row>
    <row r="147" spans="1:8" ht="15" x14ac:dyDescent="0.3">
      <c r="A147" s="10" t="s">
        <v>47</v>
      </c>
      <c r="B147" s="10">
        <v>6782</v>
      </c>
      <c r="C147" s="15">
        <v>150</v>
      </c>
      <c r="D147" s="21">
        <v>280</v>
      </c>
      <c r="E147" s="20">
        <v>137</v>
      </c>
      <c r="F147" s="9">
        <v>45448</v>
      </c>
      <c r="G147" s="9">
        <v>45755</v>
      </c>
      <c r="H147" s="7" t="s">
        <v>1</v>
      </c>
    </row>
    <row r="148" spans="1:8" ht="15" x14ac:dyDescent="0.3">
      <c r="A148" s="10" t="s">
        <v>52</v>
      </c>
      <c r="B148" s="10">
        <v>6152</v>
      </c>
      <c r="C148" s="15">
        <v>5000</v>
      </c>
      <c r="D148" s="21">
        <v>13.7</v>
      </c>
      <c r="E148" s="20">
        <v>16.2</v>
      </c>
      <c r="F148" s="9">
        <v>45461</v>
      </c>
      <c r="G148" s="9">
        <v>45477</v>
      </c>
      <c r="H148" s="7" t="s">
        <v>1</v>
      </c>
    </row>
    <row r="149" spans="1:8" ht="15" x14ac:dyDescent="0.3">
      <c r="A149" s="10" t="s">
        <v>47</v>
      </c>
      <c r="B149" s="10">
        <v>6782</v>
      </c>
      <c r="C149" s="15">
        <v>200</v>
      </c>
      <c r="D149" s="21">
        <v>284</v>
      </c>
      <c r="E149" s="20">
        <v>137</v>
      </c>
      <c r="F149" s="9">
        <v>45468</v>
      </c>
      <c r="G149" s="9">
        <v>45755</v>
      </c>
      <c r="H149" s="7" t="s">
        <v>1</v>
      </c>
    </row>
    <row r="150" spans="1:8" ht="15" x14ac:dyDescent="0.3">
      <c r="A150" s="10" t="s">
        <v>53</v>
      </c>
      <c r="B150" s="10">
        <v>2482</v>
      </c>
      <c r="C150" s="15">
        <v>2000</v>
      </c>
      <c r="D150" s="21">
        <v>39.200000000000003</v>
      </c>
      <c r="E150" s="20">
        <v>42.35</v>
      </c>
      <c r="F150" s="9">
        <v>45469</v>
      </c>
      <c r="G150" s="9">
        <v>45478</v>
      </c>
      <c r="H150" s="7" t="s">
        <v>1</v>
      </c>
    </row>
    <row r="151" spans="1:8" ht="15" x14ac:dyDescent="0.3">
      <c r="A151" s="10" t="s">
        <v>53</v>
      </c>
      <c r="B151" s="10">
        <v>2482</v>
      </c>
      <c r="C151" s="15">
        <v>2000</v>
      </c>
      <c r="D151" s="21">
        <v>39.9</v>
      </c>
      <c r="E151" s="20">
        <v>42.5</v>
      </c>
      <c r="F151" s="9">
        <v>45471</v>
      </c>
      <c r="G151" s="9">
        <v>45478</v>
      </c>
      <c r="H151" s="7" t="s">
        <v>1</v>
      </c>
    </row>
    <row r="152" spans="1:8" ht="15" x14ac:dyDescent="0.3">
      <c r="A152" s="10" t="s">
        <v>53</v>
      </c>
      <c r="B152" s="10">
        <v>2482</v>
      </c>
      <c r="C152" s="15">
        <v>1000</v>
      </c>
      <c r="D152" s="21">
        <v>41.35</v>
      </c>
      <c r="E152" s="20">
        <v>42.8</v>
      </c>
      <c r="F152" s="9">
        <v>45474</v>
      </c>
      <c r="G152" s="9">
        <v>45478</v>
      </c>
      <c r="H152" s="7" t="s">
        <v>1</v>
      </c>
    </row>
    <row r="153" spans="1:8" ht="15" x14ac:dyDescent="0.3">
      <c r="A153" s="10" t="s">
        <v>47</v>
      </c>
      <c r="B153" s="10">
        <v>6782</v>
      </c>
      <c r="C153" s="15">
        <v>250</v>
      </c>
      <c r="D153" s="21">
        <v>283.5</v>
      </c>
      <c r="E153" s="20">
        <v>137</v>
      </c>
      <c r="F153" s="9">
        <v>45476</v>
      </c>
      <c r="G153" s="9">
        <v>45755</v>
      </c>
      <c r="H153" s="7" t="s">
        <v>1</v>
      </c>
    </row>
    <row r="154" spans="1:8" ht="15" x14ac:dyDescent="0.3">
      <c r="A154" s="10" t="s">
        <v>53</v>
      </c>
      <c r="B154" s="10">
        <v>2482</v>
      </c>
      <c r="C154" s="15">
        <v>1000</v>
      </c>
      <c r="D154" s="21">
        <v>45.9</v>
      </c>
      <c r="E154" s="20">
        <v>42.8</v>
      </c>
      <c r="F154" s="9">
        <v>45477</v>
      </c>
      <c r="G154" s="9">
        <v>45478</v>
      </c>
      <c r="H154" s="7" t="s">
        <v>1</v>
      </c>
    </row>
    <row r="155" spans="1:8" ht="15" x14ac:dyDescent="0.3">
      <c r="A155" s="10" t="s">
        <v>54</v>
      </c>
      <c r="B155" s="10">
        <v>3081</v>
      </c>
      <c r="C155" s="15">
        <v>500</v>
      </c>
      <c r="D155" s="21">
        <v>166</v>
      </c>
      <c r="E155" s="20">
        <v>134</v>
      </c>
      <c r="F155" s="9">
        <v>45477</v>
      </c>
      <c r="G155" s="9">
        <v>45499</v>
      </c>
      <c r="H155" s="7" t="s">
        <v>1</v>
      </c>
    </row>
    <row r="156" spans="1:8" ht="15" x14ac:dyDescent="0.3">
      <c r="A156" s="10" t="s">
        <v>54</v>
      </c>
      <c r="B156" s="10">
        <v>3081</v>
      </c>
      <c r="C156" s="15">
        <v>500</v>
      </c>
      <c r="D156" s="21">
        <v>167</v>
      </c>
      <c r="E156" s="20">
        <v>134</v>
      </c>
      <c r="F156" s="9">
        <v>45478</v>
      </c>
      <c r="G156" s="9">
        <v>45499</v>
      </c>
      <c r="H156" s="7" t="s">
        <v>1</v>
      </c>
    </row>
    <row r="157" spans="1:8" s="14" customFormat="1" ht="15" x14ac:dyDescent="0.3">
      <c r="A157" s="12" t="s">
        <v>42</v>
      </c>
      <c r="B157" s="12">
        <v>3491</v>
      </c>
      <c r="C157" s="16">
        <v>3</v>
      </c>
      <c r="D157" s="22">
        <v>299.5</v>
      </c>
      <c r="E157" s="23"/>
      <c r="F157" s="13">
        <v>45478</v>
      </c>
      <c r="G157" s="13"/>
      <c r="H157" s="12" t="s">
        <v>2</v>
      </c>
    </row>
    <row r="158" spans="1:8" ht="15" x14ac:dyDescent="0.3">
      <c r="A158" s="10" t="s">
        <v>54</v>
      </c>
      <c r="B158" s="10">
        <v>3081</v>
      </c>
      <c r="C158" s="15">
        <v>300</v>
      </c>
      <c r="D158" s="21">
        <v>160</v>
      </c>
      <c r="E158" s="20">
        <v>126</v>
      </c>
      <c r="F158" s="9">
        <v>45481</v>
      </c>
      <c r="G158" s="9">
        <v>45502</v>
      </c>
      <c r="H158" s="7" t="s">
        <v>1</v>
      </c>
    </row>
    <row r="159" spans="1:8" ht="15" x14ac:dyDescent="0.3">
      <c r="A159" s="10" t="s">
        <v>53</v>
      </c>
      <c r="B159" s="10">
        <v>2482</v>
      </c>
      <c r="C159" s="15">
        <v>1000</v>
      </c>
      <c r="D159" s="21">
        <v>41.35</v>
      </c>
      <c r="E159" s="20">
        <v>35.799999999999997</v>
      </c>
      <c r="F159" s="9">
        <v>45481</v>
      </c>
      <c r="G159" s="9">
        <v>45496</v>
      </c>
      <c r="H159" s="7" t="s">
        <v>1</v>
      </c>
    </row>
    <row r="160" spans="1:8" ht="15" x14ac:dyDescent="0.3">
      <c r="A160" s="10" t="s">
        <v>47</v>
      </c>
      <c r="B160" s="10">
        <v>6782</v>
      </c>
      <c r="C160" s="15">
        <v>200</v>
      </c>
      <c r="D160" s="21">
        <v>292</v>
      </c>
      <c r="E160" s="20">
        <v>154</v>
      </c>
      <c r="F160" s="9">
        <v>45482</v>
      </c>
      <c r="G160" s="9">
        <v>45765</v>
      </c>
      <c r="H160" s="7" t="s">
        <v>1</v>
      </c>
    </row>
    <row r="161" spans="1:8" ht="15" x14ac:dyDescent="0.3">
      <c r="A161" s="10" t="s">
        <v>47</v>
      </c>
      <c r="B161" s="10">
        <v>6782</v>
      </c>
      <c r="C161" s="15">
        <v>150</v>
      </c>
      <c r="D161" s="21">
        <v>285.5</v>
      </c>
      <c r="E161" s="20">
        <v>176.5</v>
      </c>
      <c r="F161" s="9">
        <v>45482</v>
      </c>
      <c r="G161" s="9">
        <v>45821</v>
      </c>
      <c r="H161" s="7" t="s">
        <v>1</v>
      </c>
    </row>
    <row r="162" spans="1:8" s="14" customFormat="1" ht="15" x14ac:dyDescent="0.3">
      <c r="A162" s="12" t="s">
        <v>42</v>
      </c>
      <c r="B162" s="12">
        <v>3491</v>
      </c>
      <c r="C162" s="16">
        <v>200</v>
      </c>
      <c r="D162" s="22">
        <v>302.5</v>
      </c>
      <c r="E162" s="23"/>
      <c r="F162" s="13">
        <v>45482</v>
      </c>
      <c r="G162" s="13"/>
      <c r="H162" s="12" t="s">
        <v>2</v>
      </c>
    </row>
    <row r="163" spans="1:8" s="14" customFormat="1" ht="15" x14ac:dyDescent="0.3">
      <c r="A163" s="12" t="s">
        <v>42</v>
      </c>
      <c r="B163" s="12">
        <v>3491</v>
      </c>
      <c r="C163" s="16">
        <v>150</v>
      </c>
      <c r="D163" s="22">
        <v>290</v>
      </c>
      <c r="E163" s="23"/>
      <c r="F163" s="13">
        <v>45485</v>
      </c>
      <c r="G163" s="13"/>
      <c r="H163" s="12" t="s">
        <v>2</v>
      </c>
    </row>
    <row r="164" spans="1:8" ht="15" x14ac:dyDescent="0.3">
      <c r="A164" s="10" t="s">
        <v>47</v>
      </c>
      <c r="B164" s="10">
        <v>6782</v>
      </c>
      <c r="C164" s="15">
        <v>3</v>
      </c>
      <c r="D164" s="21">
        <v>272</v>
      </c>
      <c r="E164" s="20">
        <v>176.5</v>
      </c>
      <c r="F164" s="9">
        <v>45491</v>
      </c>
      <c r="G164" s="9">
        <v>45821</v>
      </c>
      <c r="H164" s="7" t="s">
        <v>1</v>
      </c>
    </row>
    <row r="165" spans="1:8" ht="15" x14ac:dyDescent="0.3">
      <c r="A165" s="10" t="s">
        <v>47</v>
      </c>
      <c r="B165" s="10">
        <v>6782</v>
      </c>
      <c r="C165" s="15">
        <v>200</v>
      </c>
      <c r="D165" s="21">
        <v>264.5</v>
      </c>
      <c r="E165" s="20">
        <v>176.5</v>
      </c>
      <c r="F165" s="9">
        <v>45496</v>
      </c>
      <c r="G165" s="9">
        <v>45821</v>
      </c>
      <c r="H165" s="7" t="s">
        <v>1</v>
      </c>
    </row>
    <row r="166" spans="1:8" s="14" customFormat="1" ht="15" x14ac:dyDescent="0.3">
      <c r="A166" s="12" t="s">
        <v>42</v>
      </c>
      <c r="B166" s="12">
        <v>3491</v>
      </c>
      <c r="C166" s="16">
        <v>56</v>
      </c>
      <c r="D166" s="22">
        <v>308</v>
      </c>
      <c r="E166" s="23"/>
      <c r="F166" s="13">
        <v>45499</v>
      </c>
      <c r="G166" s="13"/>
      <c r="H166" s="12" t="s">
        <v>2</v>
      </c>
    </row>
    <row r="167" spans="1:8" ht="15" x14ac:dyDescent="0.3">
      <c r="A167" s="10" t="s">
        <v>47</v>
      </c>
      <c r="B167" s="10">
        <v>6782</v>
      </c>
      <c r="C167" s="15">
        <v>200</v>
      </c>
      <c r="D167" s="21">
        <v>258</v>
      </c>
      <c r="E167" s="20">
        <v>176.5</v>
      </c>
      <c r="F167" s="9">
        <v>45502</v>
      </c>
      <c r="G167" s="9">
        <v>45821</v>
      </c>
      <c r="H167" s="7" t="s">
        <v>1</v>
      </c>
    </row>
    <row r="168" spans="1:8" ht="15" x14ac:dyDescent="0.3">
      <c r="A168" s="10" t="s">
        <v>47</v>
      </c>
      <c r="B168" s="10">
        <v>6782</v>
      </c>
      <c r="C168" s="15">
        <v>200</v>
      </c>
      <c r="D168" s="21">
        <v>250</v>
      </c>
      <c r="E168" s="20">
        <v>176.5</v>
      </c>
      <c r="F168" s="9">
        <v>45504</v>
      </c>
      <c r="G168" s="9">
        <v>45821</v>
      </c>
      <c r="H168" s="7" t="s">
        <v>1</v>
      </c>
    </row>
    <row r="169" spans="1:8" s="14" customFormat="1" ht="15" x14ac:dyDescent="0.3">
      <c r="A169" s="12" t="s">
        <v>42</v>
      </c>
      <c r="B169" s="12">
        <v>3491</v>
      </c>
      <c r="C169" s="16">
        <v>500</v>
      </c>
      <c r="D169" s="22">
        <v>269.5</v>
      </c>
      <c r="E169" s="23"/>
      <c r="F169" s="13">
        <v>45510</v>
      </c>
      <c r="G169" s="13"/>
      <c r="H169" s="12" t="s">
        <v>2</v>
      </c>
    </row>
    <row r="170" spans="1:8" s="14" customFormat="1" ht="15" x14ac:dyDescent="0.3">
      <c r="A170" s="12" t="s">
        <v>42</v>
      </c>
      <c r="B170" s="12">
        <v>3491</v>
      </c>
      <c r="C170" s="16">
        <v>200</v>
      </c>
      <c r="D170" s="22">
        <v>255</v>
      </c>
      <c r="E170" s="23"/>
      <c r="F170" s="13">
        <v>45510</v>
      </c>
      <c r="G170" s="13"/>
      <c r="H170" s="12" t="s">
        <v>2</v>
      </c>
    </row>
    <row r="171" spans="1:8" ht="15" x14ac:dyDescent="0.3">
      <c r="A171" s="10" t="s">
        <v>47</v>
      </c>
      <c r="B171" s="10">
        <v>6782</v>
      </c>
      <c r="C171" s="15">
        <v>247</v>
      </c>
      <c r="D171" s="21">
        <v>211</v>
      </c>
      <c r="E171" s="20">
        <v>176.5</v>
      </c>
      <c r="F171" s="9">
        <v>45512</v>
      </c>
      <c r="G171" s="9">
        <v>45821</v>
      </c>
      <c r="H171" s="7" t="s">
        <v>1</v>
      </c>
    </row>
    <row r="172" spans="1:8" s="14" customFormat="1" ht="15" x14ac:dyDescent="0.3">
      <c r="A172" s="12" t="s">
        <v>42</v>
      </c>
      <c r="B172" s="12">
        <v>3491</v>
      </c>
      <c r="C172" s="16">
        <v>100</v>
      </c>
      <c r="D172" s="22">
        <v>320</v>
      </c>
      <c r="E172" s="23"/>
      <c r="F172" s="13">
        <v>45545</v>
      </c>
      <c r="G172" s="13"/>
      <c r="H172" s="12" t="s">
        <v>2</v>
      </c>
    </row>
    <row r="173" spans="1:8" s="14" customFormat="1" ht="15" x14ac:dyDescent="0.3">
      <c r="A173" s="12" t="s">
        <v>42</v>
      </c>
      <c r="B173" s="12">
        <v>3491</v>
      </c>
      <c r="C173" s="16">
        <v>100</v>
      </c>
      <c r="D173" s="22">
        <v>335</v>
      </c>
      <c r="E173" s="23"/>
      <c r="F173" s="13">
        <v>45562</v>
      </c>
      <c r="G173" s="13"/>
      <c r="H173" s="12" t="s">
        <v>2</v>
      </c>
    </row>
    <row r="174" spans="1:8" s="14" customFormat="1" ht="15" x14ac:dyDescent="0.3">
      <c r="A174" s="12" t="s">
        <v>42</v>
      </c>
      <c r="B174" s="12">
        <v>3491</v>
      </c>
      <c r="C174" s="16">
        <v>100</v>
      </c>
      <c r="D174" s="22">
        <v>324.5</v>
      </c>
      <c r="E174" s="23"/>
      <c r="F174" s="13">
        <v>45566</v>
      </c>
      <c r="G174" s="13"/>
      <c r="H174" s="12" t="s">
        <v>2</v>
      </c>
    </row>
    <row r="175" spans="1:8" s="14" customFormat="1" ht="15" x14ac:dyDescent="0.3">
      <c r="A175" s="12" t="s">
        <v>42</v>
      </c>
      <c r="B175" s="12">
        <v>3491</v>
      </c>
      <c r="C175" s="16">
        <v>100</v>
      </c>
      <c r="D175" s="22">
        <v>307</v>
      </c>
      <c r="E175" s="23"/>
      <c r="F175" s="13">
        <v>45579</v>
      </c>
      <c r="G175" s="13"/>
      <c r="H175" s="12" t="s">
        <v>2</v>
      </c>
    </row>
    <row r="176" spans="1:8" s="14" customFormat="1" ht="15" x14ac:dyDescent="0.3">
      <c r="A176" s="12" t="s">
        <v>42</v>
      </c>
      <c r="B176" s="12">
        <v>3491</v>
      </c>
      <c r="C176" s="16">
        <v>100</v>
      </c>
      <c r="D176" s="22">
        <v>308</v>
      </c>
      <c r="E176" s="23"/>
      <c r="F176" s="13">
        <v>45583</v>
      </c>
      <c r="G176" s="13"/>
      <c r="H176" s="12" t="s">
        <v>2</v>
      </c>
    </row>
    <row r="177" spans="1:8" s="14" customFormat="1" ht="15" x14ac:dyDescent="0.3">
      <c r="A177" s="12" t="s">
        <v>42</v>
      </c>
      <c r="B177" s="12">
        <v>3491</v>
      </c>
      <c r="C177" s="16">
        <v>71</v>
      </c>
      <c r="D177" s="22">
        <v>306</v>
      </c>
      <c r="E177" s="23"/>
      <c r="F177" s="13">
        <v>45589</v>
      </c>
      <c r="G177" s="13"/>
      <c r="H177" s="12" t="s">
        <v>2</v>
      </c>
    </row>
    <row r="178" spans="1:8" ht="15" x14ac:dyDescent="0.3">
      <c r="A178" s="10" t="s">
        <v>47</v>
      </c>
      <c r="B178" s="10">
        <v>6782</v>
      </c>
      <c r="C178" s="15">
        <v>35</v>
      </c>
      <c r="D178" s="21">
        <v>213</v>
      </c>
      <c r="E178" s="20">
        <v>154</v>
      </c>
      <c r="F178" s="9">
        <v>45604</v>
      </c>
      <c r="G178" s="9">
        <v>45765</v>
      </c>
      <c r="H178" s="7" t="s">
        <v>1</v>
      </c>
    </row>
    <row r="179" spans="1:8" s="14" customFormat="1" ht="15" x14ac:dyDescent="0.3">
      <c r="A179" s="12" t="s">
        <v>42</v>
      </c>
      <c r="B179" s="12">
        <v>3491</v>
      </c>
      <c r="C179" s="16">
        <v>150</v>
      </c>
      <c r="D179" s="22">
        <v>314.5</v>
      </c>
      <c r="E179" s="23"/>
      <c r="F179" s="13">
        <v>45643</v>
      </c>
      <c r="G179" s="13"/>
      <c r="H179" s="12" t="s">
        <v>2</v>
      </c>
    </row>
    <row r="180" spans="1:8" s="14" customFormat="1" ht="15" x14ac:dyDescent="0.3">
      <c r="A180" s="12" t="s">
        <v>42</v>
      </c>
      <c r="B180" s="12">
        <v>3491</v>
      </c>
      <c r="C180" s="16">
        <v>100</v>
      </c>
      <c r="D180" s="22">
        <v>322</v>
      </c>
      <c r="E180" s="23"/>
      <c r="F180" s="13">
        <v>45645</v>
      </c>
      <c r="G180" s="13"/>
      <c r="H180" s="12" t="s">
        <v>2</v>
      </c>
    </row>
    <row r="181" spans="1:8" s="14" customFormat="1" ht="15" x14ac:dyDescent="0.3">
      <c r="A181" s="12" t="s">
        <v>42</v>
      </c>
      <c r="B181" s="12">
        <v>3491</v>
      </c>
      <c r="C181" s="16">
        <v>170</v>
      </c>
      <c r="D181" s="22">
        <v>329</v>
      </c>
      <c r="E181" s="23"/>
      <c r="F181" s="13">
        <v>45652</v>
      </c>
      <c r="G181" s="13"/>
      <c r="H181" s="12" t="s">
        <v>2</v>
      </c>
    </row>
    <row r="182" spans="1:8" x14ac:dyDescent="0.3">
      <c r="A182" s="6" t="s">
        <v>55</v>
      </c>
      <c r="B182" s="6">
        <v>6491</v>
      </c>
      <c r="C182" s="15">
        <v>100</v>
      </c>
      <c r="D182" s="19">
        <v>375.5</v>
      </c>
      <c r="E182" s="20">
        <v>324</v>
      </c>
      <c r="F182" s="9">
        <v>45691</v>
      </c>
      <c r="G182" s="9">
        <v>45754</v>
      </c>
      <c r="H182" s="7" t="s">
        <v>1</v>
      </c>
    </row>
    <row r="183" spans="1:8" x14ac:dyDescent="0.3">
      <c r="A183" s="6" t="s">
        <v>22</v>
      </c>
      <c r="B183" s="6">
        <v>9955</v>
      </c>
      <c r="C183" s="15">
        <v>2000</v>
      </c>
      <c r="D183" s="19">
        <v>29.85</v>
      </c>
      <c r="E183" s="20">
        <v>32.4</v>
      </c>
      <c r="F183" s="9">
        <v>45691</v>
      </c>
      <c r="G183" s="9">
        <v>45693</v>
      </c>
      <c r="H183" s="7" t="s">
        <v>1</v>
      </c>
    </row>
    <row r="184" spans="1:8" x14ac:dyDescent="0.3">
      <c r="A184" s="6" t="s">
        <v>55</v>
      </c>
      <c r="B184" s="6">
        <v>6491</v>
      </c>
      <c r="C184" s="15">
        <v>100</v>
      </c>
      <c r="D184" s="19">
        <v>372</v>
      </c>
      <c r="E184" s="20">
        <v>324</v>
      </c>
      <c r="F184" s="9">
        <v>45693</v>
      </c>
      <c r="G184" s="9">
        <v>45754</v>
      </c>
      <c r="H184" s="7" t="s">
        <v>1</v>
      </c>
    </row>
    <row r="185" spans="1:8" s="14" customFormat="1" ht="15" x14ac:dyDescent="0.3">
      <c r="A185" s="12" t="s">
        <v>42</v>
      </c>
      <c r="B185" s="12">
        <v>3491</v>
      </c>
      <c r="C185" s="16">
        <v>100</v>
      </c>
      <c r="D185" s="22">
        <v>423.5</v>
      </c>
      <c r="E185" s="23"/>
      <c r="F185" s="13">
        <v>45694</v>
      </c>
      <c r="G185" s="13"/>
      <c r="H185" s="12" t="s">
        <v>2</v>
      </c>
    </row>
    <row r="186" spans="1:8" s="14" customFormat="1" ht="15" x14ac:dyDescent="0.3">
      <c r="A186" s="12" t="s">
        <v>42</v>
      </c>
      <c r="B186" s="12">
        <v>3491</v>
      </c>
      <c r="C186" s="16">
        <v>100</v>
      </c>
      <c r="D186" s="22">
        <v>411</v>
      </c>
      <c r="E186" s="23"/>
      <c r="F186" s="13">
        <v>45699</v>
      </c>
      <c r="G186" s="13"/>
      <c r="H186" s="12" t="s">
        <v>2</v>
      </c>
    </row>
    <row r="187" spans="1:8" s="14" customFormat="1" ht="15" x14ac:dyDescent="0.3">
      <c r="A187" s="12" t="s">
        <v>42</v>
      </c>
      <c r="B187" s="12">
        <v>3491</v>
      </c>
      <c r="C187" s="16">
        <v>100</v>
      </c>
      <c r="D187" s="22">
        <v>410</v>
      </c>
      <c r="E187" s="23"/>
      <c r="F187" s="13">
        <v>45701</v>
      </c>
      <c r="G187" s="13"/>
      <c r="H187" s="12" t="s">
        <v>2</v>
      </c>
    </row>
    <row r="188" spans="1:8" s="14" customFormat="1" ht="15" x14ac:dyDescent="0.3">
      <c r="A188" s="12" t="s">
        <v>42</v>
      </c>
      <c r="B188" s="12">
        <v>3491</v>
      </c>
      <c r="C188" s="16">
        <v>100</v>
      </c>
      <c r="D188" s="22">
        <v>431.5</v>
      </c>
      <c r="E188" s="23"/>
      <c r="F188" s="13">
        <v>45707</v>
      </c>
      <c r="G188" s="13"/>
      <c r="H188" s="12" t="s">
        <v>2</v>
      </c>
    </row>
    <row r="189" spans="1:8" x14ac:dyDescent="0.3">
      <c r="A189" s="6" t="s">
        <v>56</v>
      </c>
      <c r="B189" s="6">
        <v>6438</v>
      </c>
      <c r="C189" s="15">
        <v>70</v>
      </c>
      <c r="D189" s="19">
        <v>224.5</v>
      </c>
      <c r="E189" s="20">
        <v>209</v>
      </c>
      <c r="F189" s="9">
        <v>45699</v>
      </c>
      <c r="G189" s="9">
        <v>45713</v>
      </c>
      <c r="H189" s="7" t="s">
        <v>1</v>
      </c>
    </row>
    <row r="190" spans="1:8" x14ac:dyDescent="0.3">
      <c r="A190" s="6" t="s">
        <v>56</v>
      </c>
      <c r="B190" s="6">
        <v>6438</v>
      </c>
      <c r="C190" s="15">
        <v>40</v>
      </c>
      <c r="D190" s="19">
        <v>224.5</v>
      </c>
      <c r="E190" s="20">
        <v>200</v>
      </c>
      <c r="F190" s="9">
        <v>45699</v>
      </c>
      <c r="G190" s="9">
        <v>45714</v>
      </c>
      <c r="H190" s="7" t="s">
        <v>1</v>
      </c>
    </row>
    <row r="191" spans="1:8" x14ac:dyDescent="0.3">
      <c r="A191" s="6" t="s">
        <v>56</v>
      </c>
      <c r="B191" s="6">
        <v>6438</v>
      </c>
      <c r="C191" s="15">
        <v>109</v>
      </c>
      <c r="D191" s="19">
        <v>223</v>
      </c>
      <c r="E191" s="20">
        <v>200</v>
      </c>
      <c r="F191" s="9">
        <v>45705</v>
      </c>
      <c r="G191" s="9">
        <v>45714</v>
      </c>
      <c r="H191" s="7" t="s">
        <v>1</v>
      </c>
    </row>
    <row r="192" spans="1:8" x14ac:dyDescent="0.3">
      <c r="A192" s="6" t="s">
        <v>56</v>
      </c>
      <c r="B192" s="6">
        <v>6438</v>
      </c>
      <c r="C192" s="15">
        <v>100</v>
      </c>
      <c r="D192" s="19">
        <v>224</v>
      </c>
      <c r="E192" s="20">
        <v>200</v>
      </c>
      <c r="F192" s="9">
        <v>45705</v>
      </c>
      <c r="G192" s="9">
        <v>45714</v>
      </c>
      <c r="H192" s="7" t="s">
        <v>1</v>
      </c>
    </row>
    <row r="193" spans="1:8" x14ac:dyDescent="0.3">
      <c r="A193" s="6" t="s">
        <v>56</v>
      </c>
      <c r="B193" s="6">
        <v>6438</v>
      </c>
      <c r="C193" s="15">
        <v>115</v>
      </c>
      <c r="D193" s="19">
        <v>226</v>
      </c>
      <c r="E193" s="20">
        <v>214</v>
      </c>
      <c r="F193" s="9">
        <v>45706</v>
      </c>
      <c r="G193" s="9">
        <v>45713</v>
      </c>
      <c r="H193" s="7" t="s">
        <v>1</v>
      </c>
    </row>
    <row r="194" spans="1:8" x14ac:dyDescent="0.3">
      <c r="A194" s="6" t="s">
        <v>56</v>
      </c>
      <c r="B194" s="6">
        <v>6438</v>
      </c>
      <c r="C194" s="15">
        <v>35</v>
      </c>
      <c r="D194" s="19">
        <v>226</v>
      </c>
      <c r="E194" s="20">
        <v>200</v>
      </c>
      <c r="F194" s="9">
        <v>45706</v>
      </c>
      <c r="G194" s="9">
        <v>45714</v>
      </c>
      <c r="H194" s="7" t="s">
        <v>1</v>
      </c>
    </row>
    <row r="195" spans="1:8" x14ac:dyDescent="0.3">
      <c r="A195" s="6" t="s">
        <v>57</v>
      </c>
      <c r="B195" s="6">
        <v>9955</v>
      </c>
      <c r="C195" s="15">
        <v>2000</v>
      </c>
      <c r="D195" s="19">
        <v>31.9</v>
      </c>
      <c r="E195" s="20">
        <v>21.55</v>
      </c>
      <c r="F195" s="9">
        <v>45707</v>
      </c>
      <c r="G195" s="9">
        <v>45756</v>
      </c>
      <c r="H195" s="7" t="s">
        <v>1</v>
      </c>
    </row>
    <row r="196" spans="1:8" x14ac:dyDescent="0.3">
      <c r="A196" s="6" t="s">
        <v>57</v>
      </c>
      <c r="B196" s="6">
        <v>9955</v>
      </c>
      <c r="C196" s="15">
        <v>1000</v>
      </c>
      <c r="D196" s="19">
        <v>31.6</v>
      </c>
      <c r="E196" s="20">
        <v>21.55</v>
      </c>
      <c r="F196" s="9">
        <v>45709</v>
      </c>
      <c r="G196" s="9">
        <v>45756</v>
      </c>
      <c r="H196" s="7" t="s">
        <v>1</v>
      </c>
    </row>
    <row r="197" spans="1:8" x14ac:dyDescent="0.3">
      <c r="A197" s="6" t="s">
        <v>57</v>
      </c>
      <c r="B197" s="6">
        <v>9955</v>
      </c>
      <c r="C197" s="15">
        <v>1000</v>
      </c>
      <c r="D197" s="19">
        <v>31.55</v>
      </c>
      <c r="E197" s="20">
        <v>21.55</v>
      </c>
      <c r="F197" s="9">
        <v>45709</v>
      </c>
      <c r="G197" s="9">
        <v>45756</v>
      </c>
      <c r="H197" s="7" t="s">
        <v>1</v>
      </c>
    </row>
    <row r="198" spans="1:8" x14ac:dyDescent="0.3">
      <c r="A198" s="6" t="s">
        <v>57</v>
      </c>
      <c r="B198" s="6">
        <v>9955</v>
      </c>
      <c r="C198" s="15">
        <v>1000</v>
      </c>
      <c r="D198" s="19">
        <v>30.15</v>
      </c>
      <c r="E198" s="20">
        <v>28.85</v>
      </c>
      <c r="F198" s="9">
        <v>45721</v>
      </c>
      <c r="G198" s="9">
        <v>45765</v>
      </c>
      <c r="H198" s="7" t="s">
        <v>1</v>
      </c>
    </row>
    <row r="199" spans="1:8" x14ac:dyDescent="0.3">
      <c r="A199" s="6" t="s">
        <v>58</v>
      </c>
      <c r="B199" s="6">
        <v>2330</v>
      </c>
      <c r="C199" s="15">
        <v>50</v>
      </c>
      <c r="D199" s="19">
        <v>1025</v>
      </c>
      <c r="E199" s="20">
        <v>848</v>
      </c>
      <c r="F199" s="9">
        <v>45721</v>
      </c>
      <c r="G199" s="9">
        <v>45754</v>
      </c>
      <c r="H199" s="7" t="s">
        <v>1</v>
      </c>
    </row>
    <row r="200" spans="1:8" s="14" customFormat="1" ht="15" x14ac:dyDescent="0.3">
      <c r="A200" s="12" t="s">
        <v>42</v>
      </c>
      <c r="B200" s="12">
        <v>3491</v>
      </c>
      <c r="C200" s="16">
        <v>100</v>
      </c>
      <c r="D200" s="22">
        <v>452</v>
      </c>
      <c r="E200" s="23"/>
      <c r="F200" s="13">
        <v>45721</v>
      </c>
      <c r="G200" s="13"/>
      <c r="H200" s="12" t="s">
        <v>2</v>
      </c>
    </row>
    <row r="201" spans="1:8" s="14" customFormat="1" ht="15" x14ac:dyDescent="0.3">
      <c r="A201" s="12" t="s">
        <v>42</v>
      </c>
      <c r="B201" s="12">
        <v>3491</v>
      </c>
      <c r="C201" s="16">
        <v>11</v>
      </c>
      <c r="D201" s="22">
        <v>450.5</v>
      </c>
      <c r="E201" s="23"/>
      <c r="F201" s="13">
        <v>45722</v>
      </c>
      <c r="G201" s="13"/>
      <c r="H201" s="12" t="s">
        <v>2</v>
      </c>
    </row>
    <row r="202" spans="1:8" s="14" customFormat="1" ht="15" x14ac:dyDescent="0.3">
      <c r="A202" s="12" t="s">
        <v>42</v>
      </c>
      <c r="B202" s="12">
        <v>3491</v>
      </c>
      <c r="C202" s="16">
        <v>200</v>
      </c>
      <c r="D202" s="22">
        <v>459.5</v>
      </c>
      <c r="E202" s="23"/>
      <c r="F202" s="13">
        <v>45723</v>
      </c>
      <c r="G202" s="13"/>
      <c r="H202" s="12" t="s">
        <v>2</v>
      </c>
    </row>
    <row r="203" spans="1:8" x14ac:dyDescent="0.3">
      <c r="A203" s="6" t="s">
        <v>58</v>
      </c>
      <c r="B203" s="6">
        <v>2330</v>
      </c>
      <c r="C203" s="15">
        <v>50</v>
      </c>
      <c r="D203" s="19">
        <v>976</v>
      </c>
      <c r="E203" s="20">
        <v>848</v>
      </c>
      <c r="F203" s="9">
        <v>45733</v>
      </c>
      <c r="G203" s="9">
        <v>45754</v>
      </c>
      <c r="H203" s="7" t="s">
        <v>1</v>
      </c>
    </row>
    <row r="204" spans="1:8" x14ac:dyDescent="0.3">
      <c r="A204" s="6" t="s">
        <v>57</v>
      </c>
      <c r="B204" s="6">
        <v>9955</v>
      </c>
      <c r="C204" s="15">
        <v>1000</v>
      </c>
      <c r="D204" s="19">
        <v>30.15</v>
      </c>
      <c r="E204" s="20">
        <v>28.85</v>
      </c>
      <c r="F204" s="9">
        <v>45737</v>
      </c>
      <c r="G204" s="9">
        <v>45765</v>
      </c>
      <c r="H204" s="7" t="s">
        <v>1</v>
      </c>
    </row>
    <row r="205" spans="1:8" x14ac:dyDescent="0.3">
      <c r="A205" s="6" t="s">
        <v>57</v>
      </c>
      <c r="B205" s="6">
        <v>9955</v>
      </c>
      <c r="C205" s="15">
        <v>1000</v>
      </c>
      <c r="D205" s="19">
        <v>29.75</v>
      </c>
      <c r="E205" s="20">
        <v>28.85</v>
      </c>
      <c r="F205" s="9">
        <v>45740</v>
      </c>
      <c r="G205" s="9">
        <v>45765</v>
      </c>
      <c r="H205" s="7" t="s">
        <v>1</v>
      </c>
    </row>
    <row r="206" spans="1:8" s="14" customFormat="1" ht="15" x14ac:dyDescent="0.3">
      <c r="A206" s="12" t="s">
        <v>42</v>
      </c>
      <c r="B206" s="12">
        <v>3491</v>
      </c>
      <c r="C206" s="16">
        <v>100</v>
      </c>
      <c r="D206" s="22">
        <v>442.5</v>
      </c>
      <c r="E206" s="23"/>
      <c r="F206" s="13">
        <v>45740</v>
      </c>
      <c r="G206" s="13"/>
      <c r="H206" s="12" t="s">
        <v>2</v>
      </c>
    </row>
    <row r="207" spans="1:8" x14ac:dyDescent="0.3">
      <c r="A207" s="6" t="s">
        <v>58</v>
      </c>
      <c r="B207" s="6">
        <v>2330</v>
      </c>
      <c r="C207" s="15">
        <v>50</v>
      </c>
      <c r="D207" s="19">
        <v>990</v>
      </c>
      <c r="E207" s="20">
        <v>848</v>
      </c>
      <c r="F207" s="9">
        <v>45741</v>
      </c>
      <c r="G207" s="9">
        <v>45754</v>
      </c>
      <c r="H207" s="7" t="s">
        <v>1</v>
      </c>
    </row>
    <row r="208" spans="1:8" x14ac:dyDescent="0.3">
      <c r="A208" s="6" t="s">
        <v>57</v>
      </c>
      <c r="B208" s="6">
        <v>9955</v>
      </c>
      <c r="C208" s="15">
        <v>1000</v>
      </c>
      <c r="D208" s="19">
        <v>29.2</v>
      </c>
      <c r="E208" s="20">
        <v>28.85</v>
      </c>
      <c r="F208" s="9">
        <v>45742</v>
      </c>
      <c r="G208" s="9">
        <v>45765</v>
      </c>
      <c r="H208" s="7" t="s">
        <v>1</v>
      </c>
    </row>
    <row r="209" spans="1:8" s="14" customFormat="1" ht="15" x14ac:dyDescent="0.3">
      <c r="A209" s="12" t="s">
        <v>42</v>
      </c>
      <c r="B209" s="12">
        <v>3491</v>
      </c>
      <c r="C209" s="16">
        <v>100</v>
      </c>
      <c r="D209" s="22">
        <v>445</v>
      </c>
      <c r="E209" s="23"/>
      <c r="F209" s="13">
        <v>45743</v>
      </c>
      <c r="G209" s="13"/>
      <c r="H209" s="12" t="s">
        <v>2</v>
      </c>
    </row>
    <row r="210" spans="1:8" s="14" customFormat="1" ht="15" x14ac:dyDescent="0.3">
      <c r="A210" s="12" t="s">
        <v>42</v>
      </c>
      <c r="B210" s="12">
        <v>3491</v>
      </c>
      <c r="C210" s="16">
        <v>100</v>
      </c>
      <c r="D210" s="22">
        <v>429.99</v>
      </c>
      <c r="E210" s="23"/>
      <c r="F210" s="13">
        <v>45744</v>
      </c>
      <c r="G210" s="13"/>
      <c r="H210" s="12" t="s">
        <v>2</v>
      </c>
    </row>
    <row r="211" spans="1:8" s="14" customFormat="1" ht="15" x14ac:dyDescent="0.3">
      <c r="A211" s="12" t="s">
        <v>42</v>
      </c>
      <c r="B211" s="12">
        <v>3491</v>
      </c>
      <c r="C211" s="16">
        <v>400</v>
      </c>
      <c r="D211" s="22">
        <v>394</v>
      </c>
      <c r="E211" s="23"/>
      <c r="F211" s="13">
        <v>45747</v>
      </c>
      <c r="G211" s="13"/>
      <c r="H211" s="12" t="s">
        <v>2</v>
      </c>
    </row>
    <row r="212" spans="1:8" s="14" customFormat="1" ht="15" x14ac:dyDescent="0.3">
      <c r="A212" s="12" t="s">
        <v>42</v>
      </c>
      <c r="B212" s="12">
        <v>3491</v>
      </c>
      <c r="C212" s="16">
        <v>211</v>
      </c>
      <c r="D212" s="22">
        <v>348</v>
      </c>
      <c r="E212" s="23"/>
      <c r="F212" s="13">
        <v>45755</v>
      </c>
      <c r="G212" s="13"/>
      <c r="H212" s="12" t="s">
        <v>2</v>
      </c>
    </row>
    <row r="213" spans="1:8" s="14" customFormat="1" ht="15" x14ac:dyDescent="0.3">
      <c r="A213" s="12" t="s">
        <v>42</v>
      </c>
      <c r="B213" s="12">
        <v>3491</v>
      </c>
      <c r="C213" s="16">
        <v>300</v>
      </c>
      <c r="D213" s="22">
        <v>355</v>
      </c>
      <c r="E213" s="23"/>
      <c r="F213" s="13">
        <v>45755</v>
      </c>
      <c r="G213" s="13"/>
      <c r="H213" s="12" t="s">
        <v>2</v>
      </c>
    </row>
    <row r="214" spans="1:8" x14ac:dyDescent="0.3">
      <c r="A214" s="6" t="s">
        <v>57</v>
      </c>
      <c r="B214" s="6">
        <v>9955</v>
      </c>
      <c r="C214" s="15">
        <v>2000</v>
      </c>
      <c r="D214" s="19">
        <v>23.65</v>
      </c>
      <c r="E214" s="20">
        <v>28.85</v>
      </c>
      <c r="F214" s="9">
        <v>45757</v>
      </c>
      <c r="G214" s="9">
        <v>45765</v>
      </c>
      <c r="H214" s="7" t="s">
        <v>1</v>
      </c>
    </row>
    <row r="215" spans="1:8" s="14" customFormat="1" ht="15" x14ac:dyDescent="0.3">
      <c r="A215" s="12" t="s">
        <v>42</v>
      </c>
      <c r="B215" s="12">
        <v>3491</v>
      </c>
      <c r="C215" s="16">
        <v>278</v>
      </c>
      <c r="D215" s="22">
        <v>366.5</v>
      </c>
      <c r="E215" s="23"/>
      <c r="F215" s="13">
        <v>45758</v>
      </c>
      <c r="G215" s="13"/>
      <c r="H215" s="12" t="s">
        <v>2</v>
      </c>
    </row>
    <row r="216" spans="1:8" x14ac:dyDescent="0.3">
      <c r="A216" s="6" t="s">
        <v>57</v>
      </c>
      <c r="B216" s="6">
        <v>9955</v>
      </c>
      <c r="C216" s="15">
        <v>3000</v>
      </c>
      <c r="D216" s="19">
        <v>23.65</v>
      </c>
      <c r="E216" s="20">
        <v>29.8</v>
      </c>
      <c r="F216" s="9">
        <v>45757</v>
      </c>
      <c r="G216" s="9">
        <v>45768</v>
      </c>
      <c r="H216" s="7" t="s">
        <v>1</v>
      </c>
    </row>
    <row r="217" spans="1:8" x14ac:dyDescent="0.3">
      <c r="A217" s="6" t="s">
        <v>57</v>
      </c>
      <c r="B217" s="6">
        <v>9955</v>
      </c>
      <c r="C217" s="15">
        <v>3000</v>
      </c>
      <c r="D217" s="19">
        <v>23.65</v>
      </c>
      <c r="E217" s="20">
        <v>31.4</v>
      </c>
      <c r="F217" s="9">
        <v>45757</v>
      </c>
      <c r="G217" s="9">
        <v>45768</v>
      </c>
      <c r="H217" s="7" t="s">
        <v>1</v>
      </c>
    </row>
    <row r="218" spans="1:8" s="14" customFormat="1" ht="15" x14ac:dyDescent="0.3">
      <c r="A218" s="12" t="s">
        <v>42</v>
      </c>
      <c r="B218" s="12">
        <v>3491</v>
      </c>
      <c r="C218" s="16">
        <v>200</v>
      </c>
      <c r="D218" s="22">
        <v>360</v>
      </c>
      <c r="E218" s="23"/>
      <c r="F218" s="13">
        <v>45769</v>
      </c>
      <c r="G218" s="13"/>
      <c r="H218" s="12" t="s">
        <v>2</v>
      </c>
    </row>
    <row r="219" spans="1:8" s="14" customFormat="1" ht="15" x14ac:dyDescent="0.3">
      <c r="A219" s="12" t="s">
        <v>42</v>
      </c>
      <c r="B219" s="12">
        <v>3491</v>
      </c>
      <c r="C219" s="16">
        <v>100</v>
      </c>
      <c r="D219" s="22">
        <v>356.5</v>
      </c>
      <c r="E219" s="23"/>
      <c r="F219" s="13">
        <v>45769</v>
      </c>
      <c r="G219" s="13"/>
      <c r="H219" s="12" t="s">
        <v>2</v>
      </c>
    </row>
    <row r="220" spans="1:8" s="14" customFormat="1" ht="15" x14ac:dyDescent="0.3">
      <c r="A220" s="12" t="s">
        <v>42</v>
      </c>
      <c r="B220" s="12">
        <v>3491</v>
      </c>
      <c r="C220" s="16">
        <v>200</v>
      </c>
      <c r="D220" s="22">
        <v>370.5</v>
      </c>
      <c r="E220" s="23"/>
      <c r="F220" s="13">
        <v>45783</v>
      </c>
      <c r="G220" s="13"/>
      <c r="H220" s="12" t="s">
        <v>2</v>
      </c>
    </row>
    <row r="221" spans="1:8" s="14" customFormat="1" ht="15" x14ac:dyDescent="0.3">
      <c r="A221" s="12" t="s">
        <v>42</v>
      </c>
      <c r="B221" s="12">
        <v>3491</v>
      </c>
      <c r="C221" s="16">
        <v>300</v>
      </c>
      <c r="D221" s="22">
        <v>353.5</v>
      </c>
      <c r="E221" s="23"/>
      <c r="F221" s="13">
        <v>45786</v>
      </c>
      <c r="G221" s="13"/>
      <c r="H221" s="12" t="s">
        <v>2</v>
      </c>
    </row>
    <row r="222" spans="1:8" s="14" customFormat="1" ht="15" x14ac:dyDescent="0.3">
      <c r="A222" s="12" t="s">
        <v>42</v>
      </c>
      <c r="B222" s="12">
        <v>3491</v>
      </c>
      <c r="C222" s="16">
        <v>200</v>
      </c>
      <c r="D222" s="22">
        <v>350.5</v>
      </c>
      <c r="E222" s="23"/>
      <c r="F222" s="13">
        <v>45820</v>
      </c>
      <c r="G222" s="13"/>
      <c r="H222" s="12" t="s">
        <v>2</v>
      </c>
    </row>
    <row r="223" spans="1:8" s="14" customFormat="1" ht="15" x14ac:dyDescent="0.3">
      <c r="A223" s="12" t="s">
        <v>42</v>
      </c>
      <c r="B223" s="12">
        <v>3491</v>
      </c>
      <c r="C223" s="16">
        <v>200</v>
      </c>
      <c r="D223" s="22">
        <v>338</v>
      </c>
      <c r="E223" s="23"/>
      <c r="F223" s="13">
        <v>45832</v>
      </c>
      <c r="G223" s="13"/>
      <c r="H223" s="12" t="s">
        <v>2</v>
      </c>
    </row>
    <row r="224" spans="1:8" s="14" customFormat="1" ht="15" x14ac:dyDescent="0.3">
      <c r="A224" s="12" t="s">
        <v>42</v>
      </c>
      <c r="B224" s="12">
        <v>3491</v>
      </c>
      <c r="C224" s="16">
        <v>250</v>
      </c>
      <c r="D224" s="22">
        <v>332.5</v>
      </c>
      <c r="E224" s="23"/>
      <c r="F224" s="13">
        <v>45842</v>
      </c>
      <c r="G224" s="13"/>
      <c r="H224" s="12" t="s">
        <v>2</v>
      </c>
    </row>
    <row r="225" spans="1:8" s="14" customFormat="1" ht="15" x14ac:dyDescent="0.3">
      <c r="A225" s="12" t="s">
        <v>42</v>
      </c>
      <c r="B225" s="12">
        <v>3491</v>
      </c>
      <c r="C225" s="16">
        <v>150</v>
      </c>
      <c r="D225" s="22">
        <v>328</v>
      </c>
      <c r="E225" s="23"/>
      <c r="F225" s="13">
        <v>45845</v>
      </c>
      <c r="G225" s="13"/>
      <c r="H225" s="12" t="s">
        <v>2</v>
      </c>
    </row>
    <row r="226" spans="1:8" s="14" customFormat="1" ht="15" x14ac:dyDescent="0.3">
      <c r="A226" s="12" t="s">
        <v>42</v>
      </c>
      <c r="B226" s="12">
        <v>3491</v>
      </c>
      <c r="C226" s="16">
        <v>200</v>
      </c>
      <c r="D226" s="22">
        <v>323</v>
      </c>
      <c r="E226" s="23"/>
      <c r="F226" s="13">
        <v>45867</v>
      </c>
      <c r="G226" s="13"/>
      <c r="H226" s="12" t="s">
        <v>2</v>
      </c>
    </row>
    <row r="227" spans="1:8" s="14" customFormat="1" ht="15" x14ac:dyDescent="0.3">
      <c r="A227" s="12" t="s">
        <v>42</v>
      </c>
      <c r="B227" s="12">
        <v>3491</v>
      </c>
      <c r="C227" s="16">
        <v>100</v>
      </c>
      <c r="D227" s="22">
        <v>344</v>
      </c>
      <c r="E227" s="23"/>
      <c r="F227" s="13">
        <v>45874</v>
      </c>
      <c r="G227" s="13"/>
      <c r="H227" s="12" t="s">
        <v>2</v>
      </c>
    </row>
    <row r="228" spans="1:8" s="14" customFormat="1" ht="15" x14ac:dyDescent="0.3">
      <c r="A228" s="12" t="s">
        <v>42</v>
      </c>
      <c r="B228" s="12">
        <v>3491</v>
      </c>
      <c r="C228" s="16">
        <v>200</v>
      </c>
      <c r="D228" s="22">
        <v>343.5</v>
      </c>
      <c r="E228" s="23"/>
      <c r="F228" s="13">
        <v>45891</v>
      </c>
      <c r="G228" s="13"/>
      <c r="H228" s="12" t="s">
        <v>2</v>
      </c>
    </row>
    <row r="229" spans="1:8" s="14" customFormat="1" ht="15" x14ac:dyDescent="0.3">
      <c r="A229" s="12" t="s">
        <v>42</v>
      </c>
      <c r="B229" s="12">
        <v>3491</v>
      </c>
      <c r="C229" s="16">
        <v>200</v>
      </c>
      <c r="D229" s="22">
        <v>434</v>
      </c>
      <c r="E229" s="23"/>
      <c r="F229" s="13">
        <v>45917</v>
      </c>
      <c r="G229" s="13"/>
      <c r="H229" s="12" t="s">
        <v>2</v>
      </c>
    </row>
    <row r="230" spans="1:8" s="14" customFormat="1" ht="15" x14ac:dyDescent="0.3">
      <c r="A230" s="12" t="s">
        <v>42</v>
      </c>
      <c r="B230" s="12">
        <v>3491</v>
      </c>
      <c r="C230" s="16">
        <v>44</v>
      </c>
      <c r="D230" s="22">
        <v>448.5</v>
      </c>
      <c r="E230" s="23"/>
      <c r="F230" s="13">
        <v>45930</v>
      </c>
      <c r="G230" s="13"/>
      <c r="H230" s="12" t="s">
        <v>2</v>
      </c>
    </row>
    <row r="231" spans="1:8" s="14" customFormat="1" ht="15" x14ac:dyDescent="0.3">
      <c r="A231" s="12" t="s">
        <v>42</v>
      </c>
      <c r="B231" s="12">
        <v>3491</v>
      </c>
      <c r="C231" s="16">
        <v>200</v>
      </c>
      <c r="D231" s="22">
        <v>452</v>
      </c>
      <c r="E231" s="23"/>
      <c r="F231" s="13">
        <v>45932</v>
      </c>
      <c r="G231" s="13"/>
      <c r="H231" s="12" t="s">
        <v>2</v>
      </c>
    </row>
    <row r="232" spans="1:8" ht="15" x14ac:dyDescent="0.3">
      <c r="A232" s="6" t="s">
        <v>59</v>
      </c>
      <c r="B232" s="6">
        <v>1785</v>
      </c>
      <c r="C232" s="15">
        <v>1000</v>
      </c>
      <c r="D232" s="19">
        <v>56.6</v>
      </c>
      <c r="E232" s="20">
        <v>62.7</v>
      </c>
      <c r="F232" s="9">
        <v>45904</v>
      </c>
      <c r="G232" s="9">
        <v>45923</v>
      </c>
      <c r="H232" s="7" t="s">
        <v>1</v>
      </c>
    </row>
    <row r="233" spans="1:8" ht="15" x14ac:dyDescent="0.3">
      <c r="A233" s="6" t="s">
        <v>59</v>
      </c>
      <c r="B233" s="6">
        <v>1785</v>
      </c>
      <c r="C233" s="15">
        <v>1000</v>
      </c>
      <c r="D233" s="19">
        <v>58</v>
      </c>
      <c r="E233" s="20">
        <v>62.7</v>
      </c>
      <c r="F233" s="9">
        <v>45905</v>
      </c>
      <c r="G233" s="9">
        <v>45923</v>
      </c>
      <c r="H233" s="7" t="s">
        <v>1</v>
      </c>
    </row>
    <row r="234" spans="1:8" s="14" customFormat="1" ht="15" x14ac:dyDescent="0.3">
      <c r="A234" s="12" t="s">
        <v>42</v>
      </c>
      <c r="B234" s="12">
        <v>3491</v>
      </c>
      <c r="C234" s="16">
        <v>200</v>
      </c>
      <c r="D234" s="22">
        <v>464.5</v>
      </c>
      <c r="E234" s="23"/>
      <c r="F234" s="13">
        <v>45938</v>
      </c>
      <c r="G234" s="13"/>
      <c r="H234" s="12" t="s">
        <v>2</v>
      </c>
    </row>
    <row r="235" spans="1:8" s="14" customFormat="1" ht="15" x14ac:dyDescent="0.3">
      <c r="A235" s="12" t="s">
        <v>42</v>
      </c>
      <c r="B235" s="12">
        <v>3491</v>
      </c>
      <c r="C235" s="16">
        <v>200</v>
      </c>
      <c r="D235" s="22">
        <v>450</v>
      </c>
      <c r="E235" s="23"/>
      <c r="F235" s="13">
        <v>45943</v>
      </c>
      <c r="G235" s="13"/>
      <c r="H235" s="12" t="s">
        <v>2</v>
      </c>
    </row>
    <row r="236" spans="1:8" s="14" customFormat="1" ht="15" x14ac:dyDescent="0.3">
      <c r="A236" s="12" t="s">
        <v>42</v>
      </c>
      <c r="B236" s="12">
        <v>3491</v>
      </c>
      <c r="C236" s="16">
        <v>200</v>
      </c>
      <c r="D236" s="22">
        <v>430</v>
      </c>
      <c r="E236" s="23"/>
      <c r="F236" s="13">
        <v>45944</v>
      </c>
      <c r="G236" s="13"/>
      <c r="H236" s="12" t="s">
        <v>2</v>
      </c>
    </row>
    <row r="237" spans="1:8" s="14" customFormat="1" ht="15" x14ac:dyDescent="0.3">
      <c r="A237" s="12" t="s">
        <v>42</v>
      </c>
      <c r="B237" s="12">
        <v>3491</v>
      </c>
      <c r="C237" s="16">
        <v>250</v>
      </c>
      <c r="D237" s="22">
        <v>430</v>
      </c>
      <c r="E237" s="23"/>
      <c r="F237" s="13">
        <v>45959</v>
      </c>
      <c r="G237" s="13"/>
      <c r="H237" s="12" t="s">
        <v>2</v>
      </c>
    </row>
    <row r="238" spans="1:8" s="14" customFormat="1" ht="15" x14ac:dyDescent="0.3">
      <c r="A238" s="12" t="s">
        <v>42</v>
      </c>
      <c r="B238" s="12">
        <v>3491</v>
      </c>
      <c r="C238" s="16">
        <v>150</v>
      </c>
      <c r="D238" s="22">
        <v>444</v>
      </c>
      <c r="E238" s="23"/>
      <c r="F238" s="13">
        <v>45979</v>
      </c>
      <c r="G238" s="13"/>
      <c r="H238" s="12" t="s">
        <v>2</v>
      </c>
    </row>
    <row r="239" spans="1:8" ht="15" x14ac:dyDescent="0.3">
      <c r="A239" s="6" t="s">
        <v>60</v>
      </c>
      <c r="B239" s="6">
        <v>5371</v>
      </c>
      <c r="C239" s="15">
        <v>1000</v>
      </c>
      <c r="D239" s="19">
        <v>92.8</v>
      </c>
      <c r="E239" s="20">
        <v>90.7</v>
      </c>
      <c r="F239" s="9">
        <v>45995</v>
      </c>
      <c r="G239" s="9">
        <v>46001</v>
      </c>
      <c r="H239" s="7" t="s">
        <v>1</v>
      </c>
    </row>
    <row r="240" spans="1:8" ht="15" x14ac:dyDescent="0.3">
      <c r="A240" s="6" t="s">
        <v>60</v>
      </c>
      <c r="B240" s="6">
        <v>5371</v>
      </c>
      <c r="C240" s="15">
        <v>1000</v>
      </c>
      <c r="D240" s="19">
        <v>95.6</v>
      </c>
      <c r="E240" s="20">
        <v>90.7</v>
      </c>
      <c r="F240" s="9">
        <v>45995</v>
      </c>
      <c r="G240" s="9">
        <v>46001</v>
      </c>
      <c r="H240" s="7" t="s">
        <v>1</v>
      </c>
    </row>
    <row r="241" spans="1:8" ht="15" x14ac:dyDescent="0.3">
      <c r="A241" s="24" t="s">
        <v>61</v>
      </c>
      <c r="B241" s="6">
        <v>5309</v>
      </c>
      <c r="C241" s="15">
        <v>2000</v>
      </c>
      <c r="D241" s="19">
        <v>68</v>
      </c>
      <c r="E241" s="20">
        <v>69</v>
      </c>
      <c r="F241" s="9">
        <v>46001</v>
      </c>
      <c r="G241" s="9">
        <v>46007</v>
      </c>
      <c r="H241" s="7" t="s">
        <v>1</v>
      </c>
    </row>
    <row r="242" spans="1:8" ht="15" x14ac:dyDescent="0.3">
      <c r="A242" s="24" t="s">
        <v>61</v>
      </c>
      <c r="B242" s="6">
        <v>5309</v>
      </c>
      <c r="C242" s="15">
        <v>2000</v>
      </c>
      <c r="D242" s="19">
        <v>68</v>
      </c>
      <c r="E242" s="20">
        <v>72</v>
      </c>
      <c r="F242" s="9">
        <v>46001</v>
      </c>
      <c r="G242" s="9">
        <v>46010</v>
      </c>
      <c r="H242" s="7" t="s">
        <v>1</v>
      </c>
    </row>
    <row r="243" spans="1:8" s="14" customFormat="1" ht="15" x14ac:dyDescent="0.3">
      <c r="A243" s="12" t="s">
        <v>64</v>
      </c>
      <c r="B243" s="12">
        <v>1785</v>
      </c>
      <c r="C243" s="16">
        <v>5000</v>
      </c>
      <c r="D243" s="22">
        <v>58</v>
      </c>
      <c r="E243" s="23"/>
      <c r="F243" s="13">
        <v>46008</v>
      </c>
      <c r="G243" s="13"/>
      <c r="H243" s="12" t="s">
        <v>2</v>
      </c>
    </row>
    <row r="244" spans="1:8" s="14" customFormat="1" ht="15" x14ac:dyDescent="0.3">
      <c r="A244" s="12" t="s">
        <v>64</v>
      </c>
      <c r="B244" s="12">
        <v>1785</v>
      </c>
      <c r="C244" s="16">
        <v>2000</v>
      </c>
      <c r="D244" s="22">
        <v>63.6</v>
      </c>
      <c r="E244" s="23"/>
      <c r="F244" s="13">
        <v>46010</v>
      </c>
      <c r="G244" s="13"/>
      <c r="H244" s="12" t="s">
        <v>2</v>
      </c>
    </row>
    <row r="245" spans="1:8" s="14" customFormat="1" ht="15" x14ac:dyDescent="0.3">
      <c r="A245" s="12" t="s">
        <v>64</v>
      </c>
      <c r="B245" s="12">
        <v>1785</v>
      </c>
      <c r="C245" s="16">
        <v>2000</v>
      </c>
      <c r="D245" s="22">
        <v>62.1</v>
      </c>
      <c r="E245" s="23"/>
      <c r="F245" s="13">
        <v>46010</v>
      </c>
      <c r="G245" s="13"/>
      <c r="H245" s="12" t="s">
        <v>2</v>
      </c>
    </row>
    <row r="246" spans="1:8" x14ac:dyDescent="0.3">
      <c r="A246" s="10"/>
      <c r="B246" s="10"/>
      <c r="C246" s="8"/>
      <c r="D246" s="11"/>
      <c r="E246" s="17"/>
      <c r="F246" s="7"/>
      <c r="G246" s="7"/>
      <c r="H246" s="7"/>
    </row>
    <row r="247" spans="1:8" x14ac:dyDescent="0.3">
      <c r="A247" s="10"/>
      <c r="B247" s="10"/>
      <c r="C247" s="8"/>
      <c r="D247" s="11"/>
      <c r="E247" s="17"/>
      <c r="F247" s="7"/>
      <c r="G247" s="7"/>
      <c r="H247" s="7"/>
    </row>
    <row r="248" spans="1:8" x14ac:dyDescent="0.3">
      <c r="A248" s="10"/>
      <c r="B248" s="10"/>
      <c r="C248" s="8"/>
      <c r="D248" s="11"/>
      <c r="E248" s="17"/>
      <c r="F248" s="7"/>
      <c r="G248" s="7"/>
      <c r="H248" s="7"/>
    </row>
    <row r="249" spans="1:8" x14ac:dyDescent="0.3">
      <c r="A249" s="10"/>
      <c r="B249" s="10"/>
      <c r="C249" s="8"/>
      <c r="D249" s="11"/>
      <c r="E249" s="17"/>
      <c r="F249" s="7"/>
      <c r="G249" s="7"/>
      <c r="H249" s="7"/>
    </row>
    <row r="250" spans="1:8" x14ac:dyDescent="0.3">
      <c r="A250" s="10"/>
      <c r="B250" s="10"/>
      <c r="C250" s="8"/>
      <c r="D250" s="11"/>
      <c r="E250" s="17"/>
      <c r="F250" s="7"/>
      <c r="G250" s="7"/>
      <c r="H250" s="7"/>
    </row>
    <row r="251" spans="1:8" x14ac:dyDescent="0.3">
      <c r="A251" s="10"/>
      <c r="B251" s="10"/>
      <c r="C251" s="8"/>
      <c r="D251" s="11"/>
      <c r="E251" s="17"/>
      <c r="F251" s="7"/>
      <c r="G251" s="7"/>
      <c r="H251" s="7"/>
    </row>
    <row r="252" spans="1:8" x14ac:dyDescent="0.3">
      <c r="A252" s="10"/>
      <c r="B252" s="10"/>
      <c r="C252" s="8"/>
      <c r="D252" s="11"/>
      <c r="E252" s="17"/>
      <c r="F252" s="7"/>
      <c r="G252" s="7"/>
      <c r="H252" s="7"/>
    </row>
    <row r="253" spans="1:8" x14ac:dyDescent="0.3">
      <c r="A253" s="10"/>
      <c r="B253" s="10"/>
      <c r="C253" s="8"/>
      <c r="D253" s="11"/>
      <c r="E253" s="17"/>
      <c r="F253" s="7"/>
      <c r="G253" s="7"/>
      <c r="H253" s="7"/>
    </row>
    <row r="254" spans="1:8" x14ac:dyDescent="0.3">
      <c r="A254" s="10"/>
      <c r="B254" s="10"/>
      <c r="C254" s="8"/>
      <c r="D254" s="11"/>
      <c r="E254" s="17"/>
      <c r="F254" s="7"/>
      <c r="G254" s="7"/>
      <c r="H254" s="7"/>
    </row>
    <row r="255" spans="1:8" x14ac:dyDescent="0.3">
      <c r="A255" s="10"/>
      <c r="B255" s="10"/>
      <c r="C255" s="8"/>
      <c r="D255" s="11"/>
      <c r="E255" s="17"/>
      <c r="F255" s="7"/>
      <c r="G255" s="7"/>
      <c r="H255" s="7"/>
    </row>
    <row r="256" spans="1:8" x14ac:dyDescent="0.3">
      <c r="A256" s="10"/>
      <c r="B256" s="10"/>
      <c r="C256" s="8"/>
      <c r="D256" s="11"/>
      <c r="E256" s="17"/>
      <c r="F256" s="7"/>
      <c r="G256" s="7"/>
      <c r="H256" s="7"/>
    </row>
    <row r="257" spans="1:8" x14ac:dyDescent="0.3">
      <c r="A257" s="10"/>
      <c r="B257" s="10"/>
      <c r="C257" s="8"/>
      <c r="D257" s="11"/>
      <c r="E257" s="17"/>
      <c r="F257" s="7"/>
      <c r="G257" s="7"/>
      <c r="H257" s="7"/>
    </row>
    <row r="258" spans="1:8" x14ac:dyDescent="0.3">
      <c r="A258" s="10"/>
      <c r="B258" s="10"/>
      <c r="C258" s="8"/>
      <c r="D258" s="11"/>
      <c r="E258" s="17"/>
      <c r="F258" s="7"/>
      <c r="G258" s="7"/>
      <c r="H258" s="7"/>
    </row>
    <row r="259" spans="1:8" x14ac:dyDescent="0.3">
      <c r="A259" s="10"/>
      <c r="B259" s="10"/>
      <c r="C259" s="8"/>
      <c r="D259" s="11"/>
      <c r="E259" s="17"/>
      <c r="F259" s="7"/>
      <c r="G259" s="7"/>
      <c r="H259" s="7"/>
    </row>
    <row r="260" spans="1:8" x14ac:dyDescent="0.3">
      <c r="A260" s="10"/>
      <c r="B260" s="10"/>
      <c r="C260" s="8"/>
      <c r="D260" s="11"/>
      <c r="E260" s="17"/>
      <c r="F260" s="7"/>
      <c r="G260" s="7"/>
      <c r="H260" s="7"/>
    </row>
    <row r="261" spans="1:8" x14ac:dyDescent="0.3">
      <c r="A261" s="10"/>
      <c r="B261" s="10"/>
      <c r="C261" s="8"/>
      <c r="D261" s="11"/>
      <c r="E261" s="17"/>
      <c r="F261" s="7"/>
      <c r="G261" s="7"/>
      <c r="H261" s="7"/>
    </row>
    <row r="262" spans="1:8" x14ac:dyDescent="0.3">
      <c r="A262" s="10"/>
      <c r="B262" s="10"/>
      <c r="C262" s="8"/>
      <c r="D262" s="11"/>
      <c r="E262" s="17"/>
      <c r="F262" s="7"/>
      <c r="G262" s="7"/>
      <c r="H262" s="7"/>
    </row>
    <row r="263" spans="1:8" x14ac:dyDescent="0.3">
      <c r="A263" s="10"/>
      <c r="B263" s="10"/>
      <c r="C263" s="8"/>
      <c r="D263" s="11"/>
      <c r="E263" s="17"/>
      <c r="F263" s="7"/>
      <c r="G263" s="7"/>
      <c r="H263" s="7"/>
    </row>
    <row r="264" spans="1:8" x14ac:dyDescent="0.3">
      <c r="A264" s="10"/>
      <c r="B264" s="10"/>
      <c r="C264" s="8"/>
      <c r="D264" s="11"/>
      <c r="E264" s="17"/>
      <c r="F264" s="7"/>
      <c r="G264" s="7"/>
      <c r="H264" s="7"/>
    </row>
    <row r="265" spans="1:8" x14ac:dyDescent="0.3">
      <c r="A265" s="10"/>
      <c r="B265" s="10"/>
      <c r="C265" s="8"/>
      <c r="D265" s="11"/>
      <c r="E265" s="17"/>
      <c r="F265" s="7"/>
      <c r="G265" s="7"/>
      <c r="H265" s="7"/>
    </row>
    <row r="266" spans="1:8" x14ac:dyDescent="0.3">
      <c r="A266" s="10"/>
      <c r="B266" s="10"/>
      <c r="C266" s="8"/>
      <c r="D266" s="11"/>
      <c r="E266" s="17"/>
      <c r="F266" s="7"/>
      <c r="G266" s="7"/>
      <c r="H266" s="7"/>
    </row>
    <row r="267" spans="1:8" x14ac:dyDescent="0.3">
      <c r="A267" s="10"/>
      <c r="B267" s="10"/>
      <c r="C267" s="8"/>
      <c r="D267" s="11"/>
      <c r="E267" s="17"/>
      <c r="F267" s="7"/>
      <c r="G267" s="7"/>
      <c r="H267" s="7"/>
    </row>
    <row r="268" spans="1:8" x14ac:dyDescent="0.3">
      <c r="A268" s="10"/>
      <c r="B268" s="10"/>
      <c r="C268" s="8"/>
      <c r="D268" s="11"/>
      <c r="E268" s="17"/>
      <c r="F268" s="7"/>
      <c r="G268" s="7"/>
      <c r="H268" s="7"/>
    </row>
    <row r="269" spans="1:8" x14ac:dyDescent="0.3">
      <c r="A269" s="10"/>
      <c r="B269" s="10"/>
      <c r="C269" s="8"/>
      <c r="D269" s="11"/>
      <c r="E269" s="17"/>
      <c r="F269" s="7"/>
      <c r="G269" s="7"/>
      <c r="H269" s="7"/>
    </row>
    <row r="270" spans="1:8" x14ac:dyDescent="0.3">
      <c r="A270" s="10"/>
      <c r="B270" s="10"/>
      <c r="C270" s="8"/>
      <c r="D270" s="11"/>
      <c r="E270" s="17"/>
      <c r="F270" s="7"/>
      <c r="G270" s="7"/>
      <c r="H270" s="7"/>
    </row>
    <row r="271" spans="1:8" x14ac:dyDescent="0.3">
      <c r="A271" s="10"/>
      <c r="B271" s="10"/>
      <c r="C271" s="8"/>
      <c r="D271" s="11"/>
      <c r="E271" s="17"/>
      <c r="F271" s="7"/>
      <c r="G271" s="7"/>
      <c r="H271" s="7"/>
    </row>
    <row r="272" spans="1:8" x14ac:dyDescent="0.3">
      <c r="A272" s="10"/>
      <c r="B272" s="10"/>
      <c r="C272" s="8"/>
      <c r="D272" s="11"/>
      <c r="E272" s="17"/>
      <c r="F272" s="7"/>
      <c r="G272" s="7"/>
      <c r="H272" s="7"/>
    </row>
    <row r="273" spans="1:8" x14ac:dyDescent="0.3">
      <c r="A273" s="10"/>
      <c r="B273" s="10"/>
      <c r="C273" s="8"/>
      <c r="D273" s="11"/>
      <c r="E273" s="17"/>
      <c r="F273" s="7"/>
      <c r="G273" s="7"/>
      <c r="H273" s="7"/>
    </row>
    <row r="274" spans="1:8" x14ac:dyDescent="0.3">
      <c r="A274" s="10"/>
      <c r="B274" s="10"/>
      <c r="C274" s="8"/>
      <c r="D274" s="11"/>
      <c r="E274" s="17"/>
      <c r="F274" s="7"/>
      <c r="G274" s="7"/>
      <c r="H274" s="7"/>
    </row>
    <row r="275" spans="1:8" x14ac:dyDescent="0.3">
      <c r="A275" s="10"/>
      <c r="B275" s="10"/>
      <c r="C275" s="8"/>
      <c r="D275" s="11"/>
      <c r="E275" s="17"/>
      <c r="F275" s="7"/>
      <c r="G275" s="7"/>
      <c r="H275" s="7"/>
    </row>
    <row r="276" spans="1:8" x14ac:dyDescent="0.3">
      <c r="A276" s="10"/>
      <c r="B276" s="10"/>
      <c r="C276" s="8"/>
      <c r="D276" s="11"/>
      <c r="E276" s="17"/>
      <c r="F276" s="7"/>
      <c r="G276" s="7"/>
      <c r="H276" s="7"/>
    </row>
    <row r="277" spans="1:8" x14ac:dyDescent="0.3">
      <c r="A277" s="10"/>
      <c r="B277" s="10"/>
      <c r="C277" s="8"/>
      <c r="D277" s="11"/>
      <c r="E277" s="17"/>
      <c r="F277" s="7"/>
      <c r="G277" s="7"/>
      <c r="H277" s="7"/>
    </row>
  </sheetData>
  <autoFilter ref="B1:G217" xr:uid="{979DC6F4-6425-46BD-A414-DDD9A93CCDBA}"/>
  <phoneticPr fontId="2" type="noConversion"/>
  <conditionalFormatting sqref="F2:G12 F16:G40 F43:G46 F50:G54 F56:G56 F184:G185 F179:G182 F246:G1048576">
    <cfRule type="expression" dxfId="124" priority="134">
      <formula>F2=#REF!</formula>
    </cfRule>
  </conditionalFormatting>
  <conditionalFormatting sqref="F60:G60">
    <cfRule type="expression" dxfId="123" priority="133">
      <formula>F60=#REF!</formula>
    </cfRule>
  </conditionalFormatting>
  <conditionalFormatting sqref="F57:G57">
    <cfRule type="expression" dxfId="122" priority="126">
      <formula>F57=#REF!</formula>
    </cfRule>
  </conditionalFormatting>
  <conditionalFormatting sqref="F59:G59">
    <cfRule type="expression" dxfId="121" priority="132">
      <formula>F59=#REF!</formula>
    </cfRule>
  </conditionalFormatting>
  <conditionalFormatting sqref="F61:G61">
    <cfRule type="expression" dxfId="120" priority="131">
      <formula>F61=#REF!</formula>
    </cfRule>
  </conditionalFormatting>
  <conditionalFormatting sqref="F13:G13">
    <cfRule type="expression" dxfId="119" priority="130">
      <formula>F13=#REF!</formula>
    </cfRule>
  </conditionalFormatting>
  <conditionalFormatting sqref="F41:G42">
    <cfRule type="expression" dxfId="118" priority="129">
      <formula>F41=#REF!</formula>
    </cfRule>
  </conditionalFormatting>
  <conditionalFormatting sqref="F47:G49">
    <cfRule type="expression" dxfId="117" priority="128">
      <formula>F47=#REF!</formula>
    </cfRule>
  </conditionalFormatting>
  <conditionalFormatting sqref="F55:G55">
    <cfRule type="expression" dxfId="116" priority="127">
      <formula>F55=#REF!</formula>
    </cfRule>
  </conditionalFormatting>
  <conditionalFormatting sqref="F14:G15">
    <cfRule type="expression" dxfId="115" priority="125">
      <formula>F14=#REF!</formula>
    </cfRule>
  </conditionalFormatting>
  <conditionalFormatting sqref="F58:G58">
    <cfRule type="expression" dxfId="114" priority="124">
      <formula>F58=#REF!</formula>
    </cfRule>
  </conditionalFormatting>
  <conditionalFormatting sqref="F62:G62">
    <cfRule type="expression" dxfId="113" priority="123">
      <formula>F62=#REF!</formula>
    </cfRule>
  </conditionalFormatting>
  <conditionalFormatting sqref="F64:G67">
    <cfRule type="expression" dxfId="112" priority="122">
      <formula>F64=#REF!</formula>
    </cfRule>
  </conditionalFormatting>
  <conditionalFormatting sqref="F76:G76">
    <cfRule type="expression" dxfId="111" priority="116">
      <formula>F76=#REF!</formula>
    </cfRule>
  </conditionalFormatting>
  <conditionalFormatting sqref="F68:G68">
    <cfRule type="expression" dxfId="110" priority="121">
      <formula>F68=#REF!</formula>
    </cfRule>
  </conditionalFormatting>
  <conditionalFormatting sqref="F63:G63">
    <cfRule type="expression" dxfId="109" priority="120">
      <formula>F63=#REF!</formula>
    </cfRule>
  </conditionalFormatting>
  <conditionalFormatting sqref="F75:G75">
    <cfRule type="expression" dxfId="108" priority="119">
      <formula>F75=#REF!</formula>
    </cfRule>
  </conditionalFormatting>
  <conditionalFormatting sqref="F88:G88">
    <cfRule type="expression" dxfId="107" priority="111">
      <formula>F88=#REF!</formula>
    </cfRule>
  </conditionalFormatting>
  <conditionalFormatting sqref="F79:G79">
    <cfRule type="expression" dxfId="106" priority="118">
      <formula>F79=#REF!</formula>
    </cfRule>
  </conditionalFormatting>
  <conditionalFormatting sqref="F74:G74">
    <cfRule type="expression" dxfId="105" priority="117">
      <formula>F74=#REF!</formula>
    </cfRule>
  </conditionalFormatting>
  <conditionalFormatting sqref="F80:G80">
    <cfRule type="expression" dxfId="104" priority="113">
      <formula>F80=#REF!</formula>
    </cfRule>
  </conditionalFormatting>
  <conditionalFormatting sqref="F99:G101">
    <cfRule type="expression" dxfId="103" priority="103">
      <formula>F99=#REF!</formula>
    </cfRule>
  </conditionalFormatting>
  <conditionalFormatting sqref="F89:G90">
    <cfRule type="expression" dxfId="102" priority="110">
      <formula>F89=#REF!</formula>
    </cfRule>
  </conditionalFormatting>
  <conditionalFormatting sqref="F93:G94">
    <cfRule type="expression" dxfId="101" priority="109">
      <formula>F93=#REF!</formula>
    </cfRule>
  </conditionalFormatting>
  <conditionalFormatting sqref="F96:G97">
    <cfRule type="expression" dxfId="100" priority="107">
      <formula>F96=#REF!</formula>
    </cfRule>
  </conditionalFormatting>
  <conditionalFormatting sqref="F95:G95">
    <cfRule type="expression" dxfId="99" priority="108">
      <formula>F95=#REF!</formula>
    </cfRule>
  </conditionalFormatting>
  <conditionalFormatting sqref="F98:G98">
    <cfRule type="expression" dxfId="98" priority="106">
      <formula>F98=#REF!</formula>
    </cfRule>
  </conditionalFormatting>
  <conditionalFormatting sqref="F102:G103">
    <cfRule type="expression" dxfId="97" priority="105">
      <formula>F102=#REF!</formula>
    </cfRule>
  </conditionalFormatting>
  <conditionalFormatting sqref="F104:G104">
    <cfRule type="expression" dxfId="96" priority="104">
      <formula>F104=#REF!</formula>
    </cfRule>
  </conditionalFormatting>
  <conditionalFormatting sqref="F77:G78">
    <cfRule type="expression" dxfId="95" priority="102">
      <formula>F77=#REF!</formula>
    </cfRule>
  </conditionalFormatting>
  <conditionalFormatting sqref="F105:G106">
    <cfRule type="expression" dxfId="94" priority="101">
      <formula>F105=#REF!</formula>
    </cfRule>
  </conditionalFormatting>
  <conditionalFormatting sqref="F91:G91">
    <cfRule type="expression" dxfId="93" priority="97">
      <formula>F91=#REF!</formula>
    </cfRule>
  </conditionalFormatting>
  <conditionalFormatting sqref="F116:G116">
    <cfRule type="expression" dxfId="92" priority="99">
      <formula>F116=#REF!</formula>
    </cfRule>
  </conditionalFormatting>
  <conditionalFormatting sqref="F115:G115">
    <cfRule type="expression" dxfId="91" priority="100">
      <formula>F115=#REF!</formula>
    </cfRule>
  </conditionalFormatting>
  <conditionalFormatting sqref="F92:G92">
    <cfRule type="expression" dxfId="90" priority="98">
      <formula>F92=#REF!</formula>
    </cfRule>
  </conditionalFormatting>
  <conditionalFormatting sqref="F69:G73">
    <cfRule type="expression" dxfId="89" priority="96">
      <formula>F69=#REF!</formula>
    </cfRule>
  </conditionalFormatting>
  <conditionalFormatting sqref="F119:G121">
    <cfRule type="expression" dxfId="88" priority="95">
      <formula>F119=#REF!</formula>
    </cfRule>
  </conditionalFormatting>
  <conditionalFormatting sqref="F127:G127">
    <cfRule type="expression" dxfId="87" priority="94">
      <formula>F127=#REF!</formula>
    </cfRule>
  </conditionalFormatting>
  <conditionalFormatting sqref="F131:G131">
    <cfRule type="expression" dxfId="86" priority="93">
      <formula>F131=#REF!</formula>
    </cfRule>
  </conditionalFormatting>
  <conditionalFormatting sqref="F123:G123">
    <cfRule type="expression" dxfId="85" priority="92">
      <formula>F123=#REF!</formula>
    </cfRule>
  </conditionalFormatting>
  <conditionalFormatting sqref="F140:G140">
    <cfRule type="expression" dxfId="84" priority="90">
      <formula>F140=#REF!</formula>
    </cfRule>
  </conditionalFormatting>
  <conditionalFormatting sqref="F137:G137">
    <cfRule type="expression" dxfId="83" priority="91">
      <formula>F137=#REF!</formula>
    </cfRule>
  </conditionalFormatting>
  <conditionalFormatting sqref="F130:G130">
    <cfRule type="expression" dxfId="82" priority="83">
      <formula>F130=#REF!</formula>
    </cfRule>
  </conditionalFormatting>
  <conditionalFormatting sqref="F117:G118">
    <cfRule type="expression" dxfId="81" priority="89">
      <formula>F117=#REF!</formula>
    </cfRule>
  </conditionalFormatting>
  <conditionalFormatting sqref="F122:G122">
    <cfRule type="expression" dxfId="80" priority="88">
      <formula>F122=#REF!</formula>
    </cfRule>
  </conditionalFormatting>
  <conditionalFormatting sqref="F124:G124">
    <cfRule type="expression" dxfId="79" priority="87">
      <formula>F124=#REF!</formula>
    </cfRule>
  </conditionalFormatting>
  <conditionalFormatting sqref="F125:G125">
    <cfRule type="expression" dxfId="78" priority="86">
      <formula>F125=#REF!</formula>
    </cfRule>
  </conditionalFormatting>
  <conditionalFormatting sqref="F129:G129">
    <cfRule type="expression" dxfId="77" priority="85">
      <formula>F129=#REF!</formula>
    </cfRule>
  </conditionalFormatting>
  <conditionalFormatting sqref="F126:G126">
    <cfRule type="expression" dxfId="76" priority="84">
      <formula>F126=#REF!</formula>
    </cfRule>
  </conditionalFormatting>
  <conditionalFormatting sqref="F133:G134">
    <cfRule type="expression" dxfId="75" priority="82">
      <formula>F133=#REF!</formula>
    </cfRule>
  </conditionalFormatting>
  <conditionalFormatting sqref="F146:G146">
    <cfRule type="expression" dxfId="74" priority="81">
      <formula>F146=#REF!</formula>
    </cfRule>
  </conditionalFormatting>
  <conditionalFormatting sqref="F157:G157">
    <cfRule type="expression" dxfId="73" priority="79">
      <formula>F157=#REF!</formula>
    </cfRule>
  </conditionalFormatting>
  <conditionalFormatting sqref="F154:G154">
    <cfRule type="expression" dxfId="72" priority="80">
      <formula>F154=#REF!</formula>
    </cfRule>
  </conditionalFormatting>
  <conditionalFormatting sqref="F162:G163">
    <cfRule type="expression" dxfId="71" priority="78">
      <formula>F162=#REF!</formula>
    </cfRule>
  </conditionalFormatting>
  <conditionalFormatting sqref="F136:G136">
    <cfRule type="expression" dxfId="70" priority="77">
      <formula>F136=#REF!</formula>
    </cfRule>
  </conditionalFormatting>
  <conditionalFormatting sqref="F142:G142">
    <cfRule type="expression" dxfId="69" priority="76">
      <formula>F142=#REF!</formula>
    </cfRule>
  </conditionalFormatting>
  <conditionalFormatting sqref="F135:G135">
    <cfRule type="expression" dxfId="68" priority="71">
      <formula>F135=#REF!</formula>
    </cfRule>
  </conditionalFormatting>
  <conditionalFormatting sqref="F159:G159">
    <cfRule type="expression" dxfId="67" priority="75">
      <formula>F159=#REF!</formula>
    </cfRule>
  </conditionalFormatting>
  <conditionalFormatting sqref="F169:G170">
    <cfRule type="expression" dxfId="66" priority="69">
      <formula>F169=#REF!</formula>
    </cfRule>
  </conditionalFormatting>
  <conditionalFormatting sqref="F155:G156">
    <cfRule type="expression" dxfId="65" priority="74">
      <formula>F155=#REF!</formula>
    </cfRule>
  </conditionalFormatting>
  <conditionalFormatting sqref="F166:G166">
    <cfRule type="expression" dxfId="64" priority="73">
      <formula>F166=#REF!</formula>
    </cfRule>
  </conditionalFormatting>
  <conditionalFormatting sqref="F158:G158">
    <cfRule type="expression" dxfId="63" priority="72">
      <formula>F158=#REF!</formula>
    </cfRule>
  </conditionalFormatting>
  <conditionalFormatting sqref="F182:G184">
    <cfRule type="expression" dxfId="62" priority="67">
      <formula>F182=#REF!</formula>
    </cfRule>
  </conditionalFormatting>
  <conditionalFormatting sqref="F143:G145">
    <cfRule type="expression" dxfId="61" priority="70">
      <formula>F143=#REF!</formula>
    </cfRule>
  </conditionalFormatting>
  <conditionalFormatting sqref="F172:G177">
    <cfRule type="expression" dxfId="60" priority="68">
      <formula>F172=#REF!</formula>
    </cfRule>
  </conditionalFormatting>
  <conditionalFormatting sqref="F186:G187">
    <cfRule type="expression" dxfId="59" priority="66">
      <formula>F186=#REF!</formula>
    </cfRule>
  </conditionalFormatting>
  <conditionalFormatting sqref="F188:G188">
    <cfRule type="expression" dxfId="58" priority="65">
      <formula>F188=#REF!</formula>
    </cfRule>
  </conditionalFormatting>
  <conditionalFormatting sqref="F189:G189">
    <cfRule type="expression" dxfId="57" priority="64">
      <formula>F189=#REF!</formula>
    </cfRule>
  </conditionalFormatting>
  <conditionalFormatting sqref="G200:G202">
    <cfRule type="expression" dxfId="56" priority="62">
      <formula>G200=#REF!</formula>
    </cfRule>
  </conditionalFormatting>
  <conditionalFormatting sqref="F201">
    <cfRule type="expression" dxfId="55" priority="60">
      <formula>F201=#REF!</formula>
    </cfRule>
  </conditionalFormatting>
  <conditionalFormatting sqref="F202">
    <cfRule type="expression" dxfId="54" priority="59">
      <formula>F202=#REF!</formula>
    </cfRule>
  </conditionalFormatting>
  <conditionalFormatting sqref="F190:G194">
    <cfRule type="expression" dxfId="53" priority="63">
      <formula>F190=#REF!</formula>
    </cfRule>
  </conditionalFormatting>
  <conditionalFormatting sqref="F200">
    <cfRule type="expression" dxfId="52" priority="61">
      <formula>F200=#REF!</formula>
    </cfRule>
  </conditionalFormatting>
  <conditionalFormatting sqref="F206:G206">
    <cfRule type="expression" dxfId="51" priority="58">
      <formula>F206=#REF!</formula>
    </cfRule>
  </conditionalFormatting>
  <conditionalFormatting sqref="F209:G211">
    <cfRule type="expression" dxfId="50" priority="57">
      <formula>F209=#REF!</formula>
    </cfRule>
  </conditionalFormatting>
  <conditionalFormatting sqref="F199:G199">
    <cfRule type="expression" dxfId="49" priority="56">
      <formula>F199=#REF!</formula>
    </cfRule>
  </conditionalFormatting>
  <conditionalFormatting sqref="F203:G203">
    <cfRule type="expression" dxfId="48" priority="55">
      <formula>F203=#REF!</formula>
    </cfRule>
  </conditionalFormatting>
  <conditionalFormatting sqref="F207:G207">
    <cfRule type="expression" dxfId="47" priority="54">
      <formula>F207=#REF!</formula>
    </cfRule>
  </conditionalFormatting>
  <conditionalFormatting sqref="F107:G114">
    <cfRule type="expression" dxfId="46" priority="53">
      <formula>F107=#REF!</formula>
    </cfRule>
  </conditionalFormatting>
  <conditionalFormatting sqref="F128:G128">
    <cfRule type="expression" dxfId="45" priority="52">
      <formula>F128=#REF!</formula>
    </cfRule>
  </conditionalFormatting>
  <conditionalFormatting sqref="F132:G132">
    <cfRule type="expression" dxfId="44" priority="51">
      <formula>F132=#REF!</formula>
    </cfRule>
  </conditionalFormatting>
  <conditionalFormatting sqref="F138:G139">
    <cfRule type="expression" dxfId="43" priority="50">
      <formula>F138=#REF!</formula>
    </cfRule>
  </conditionalFormatting>
  <conditionalFormatting sqref="F141:G141">
    <cfRule type="expression" dxfId="42" priority="49">
      <formula>F141=#REF!</formula>
    </cfRule>
  </conditionalFormatting>
  <conditionalFormatting sqref="F147:G153">
    <cfRule type="expression" dxfId="41" priority="48">
      <formula>F147=#REF!</formula>
    </cfRule>
  </conditionalFormatting>
  <conditionalFormatting sqref="F212:G213">
    <cfRule type="expression" dxfId="40" priority="47">
      <formula>F212=#REF!</formula>
    </cfRule>
  </conditionalFormatting>
  <conditionalFormatting sqref="F195:G197">
    <cfRule type="expression" dxfId="39" priority="46">
      <formula>F195=#REF!</formula>
    </cfRule>
  </conditionalFormatting>
  <conditionalFormatting sqref="F215:G215">
    <cfRule type="expression" dxfId="38" priority="45">
      <formula>F215=#REF!</formula>
    </cfRule>
  </conditionalFormatting>
  <conditionalFormatting sqref="F160:G160">
    <cfRule type="expression" dxfId="37" priority="44">
      <formula>F160=#REF!</formula>
    </cfRule>
  </conditionalFormatting>
  <conditionalFormatting sqref="F178:G178">
    <cfRule type="expression" dxfId="36" priority="43">
      <formula>F178=#REF!</formula>
    </cfRule>
  </conditionalFormatting>
  <conditionalFormatting sqref="F198:G198">
    <cfRule type="expression" dxfId="35" priority="42">
      <formula>F198=#REF!</formula>
    </cfRule>
  </conditionalFormatting>
  <conditionalFormatting sqref="F204:G205">
    <cfRule type="expression" dxfId="34" priority="41">
      <formula>F204=#REF!</formula>
    </cfRule>
  </conditionalFormatting>
  <conditionalFormatting sqref="F208:G208">
    <cfRule type="expression" dxfId="33" priority="40">
      <formula>F208=#REF!</formula>
    </cfRule>
  </conditionalFormatting>
  <conditionalFormatting sqref="F214:G214">
    <cfRule type="expression" dxfId="32" priority="39">
      <formula>F214=#REF!</formula>
    </cfRule>
  </conditionalFormatting>
  <conditionalFormatting sqref="F216:G217">
    <cfRule type="expression" dxfId="31" priority="38">
      <formula>F216=#REF!</formula>
    </cfRule>
  </conditionalFormatting>
  <conditionalFormatting sqref="F218:G219">
    <cfRule type="expression" dxfId="30" priority="37">
      <formula>F218=#REF!</formula>
    </cfRule>
  </conditionalFormatting>
  <conditionalFormatting sqref="F220:G224">
    <cfRule type="expression" dxfId="29" priority="36">
      <formula>F220=#REF!</formula>
    </cfRule>
  </conditionalFormatting>
  <conditionalFormatting sqref="F232:G232">
    <cfRule type="expression" dxfId="28" priority="30">
      <formula>F232=#REF!</formula>
    </cfRule>
  </conditionalFormatting>
  <conditionalFormatting sqref="G233">
    <cfRule type="expression" dxfId="27" priority="28">
      <formula>G233=#REF!</formula>
    </cfRule>
  </conditionalFormatting>
  <conditionalFormatting sqref="F234:G234">
    <cfRule type="expression" dxfId="26" priority="27">
      <formula>F234=#REF!</formula>
    </cfRule>
  </conditionalFormatting>
  <conditionalFormatting sqref="F236:G238">
    <cfRule type="expression" dxfId="25" priority="25">
      <formula>F236=#REF!</formula>
    </cfRule>
  </conditionalFormatting>
  <conditionalFormatting sqref="F161:G161">
    <cfRule type="expression" dxfId="24" priority="35">
      <formula>F161=#REF!</formula>
    </cfRule>
  </conditionalFormatting>
  <conditionalFormatting sqref="F164:G165">
    <cfRule type="expression" dxfId="23" priority="34">
      <formula>F164=#REF!</formula>
    </cfRule>
  </conditionalFormatting>
  <conditionalFormatting sqref="F167:G168">
    <cfRule type="expression" dxfId="22" priority="33">
      <formula>F167=#REF!</formula>
    </cfRule>
  </conditionalFormatting>
  <conditionalFormatting sqref="F171:G171">
    <cfRule type="expression" dxfId="21" priority="32">
      <formula>F171=#REF!</formula>
    </cfRule>
  </conditionalFormatting>
  <conditionalFormatting sqref="F225:G231">
    <cfRule type="expression" dxfId="20" priority="31">
      <formula>F225=#REF!</formula>
    </cfRule>
  </conditionalFormatting>
  <conditionalFormatting sqref="F235:G235">
    <cfRule type="expression" dxfId="19" priority="26">
      <formula>F235=#REF!</formula>
    </cfRule>
  </conditionalFormatting>
  <conditionalFormatting sqref="F233">
    <cfRule type="expression" dxfId="18" priority="29">
      <formula>F233=#REF!</formula>
    </cfRule>
  </conditionalFormatting>
  <conditionalFormatting sqref="G239">
    <cfRule type="expression" dxfId="17" priority="23">
      <formula>G239=#REF!</formula>
    </cfRule>
  </conditionalFormatting>
  <conditionalFormatting sqref="F239">
    <cfRule type="expression" dxfId="16" priority="24">
      <formula>F239=#REF!</formula>
    </cfRule>
  </conditionalFormatting>
  <conditionalFormatting sqref="G240">
    <cfRule type="expression" dxfId="15" priority="22">
      <formula>G240=#REF!</formula>
    </cfRule>
  </conditionalFormatting>
  <conditionalFormatting sqref="F240">
    <cfRule type="expression" dxfId="14" priority="21">
      <formula>F240=#REF!</formula>
    </cfRule>
  </conditionalFormatting>
  <conditionalFormatting sqref="G241">
    <cfRule type="expression" dxfId="11" priority="17">
      <formula>G241=#REF!</formula>
    </cfRule>
  </conditionalFormatting>
  <conditionalFormatting sqref="F241">
    <cfRule type="expression" dxfId="10" priority="16">
      <formula>F241=#REF!</formula>
    </cfRule>
  </conditionalFormatting>
  <conditionalFormatting sqref="F81:G87">
    <cfRule type="expression" dxfId="9" priority="12">
      <formula>F81=#REF!</formula>
    </cfRule>
  </conditionalFormatting>
  <conditionalFormatting sqref="G243">
    <cfRule type="expression" dxfId="8" priority="9">
      <formula>G243=#REF!</formula>
    </cfRule>
  </conditionalFormatting>
  <conditionalFormatting sqref="F243">
    <cfRule type="expression" dxfId="7" priority="8">
      <formula>F243=#REF!</formula>
    </cfRule>
  </conditionalFormatting>
  <conditionalFormatting sqref="G242">
    <cfRule type="expression" dxfId="6" priority="7">
      <formula>G242=#REF!</formula>
    </cfRule>
  </conditionalFormatting>
  <conditionalFormatting sqref="F242">
    <cfRule type="expression" dxfId="5" priority="6">
      <formula>F242=#REF!</formula>
    </cfRule>
  </conditionalFormatting>
  <conditionalFormatting sqref="G244">
    <cfRule type="expression" dxfId="4" priority="5">
      <formula>G244=#REF!</formula>
    </cfRule>
  </conditionalFormatting>
  <conditionalFormatting sqref="F244">
    <cfRule type="expression" dxfId="3" priority="4">
      <formula>F244=#REF!</formula>
    </cfRule>
  </conditionalFormatting>
  <conditionalFormatting sqref="G245">
    <cfRule type="expression" dxfId="2" priority="3">
      <formula>G245=#REF!</formula>
    </cfRule>
  </conditionalFormatting>
  <conditionalFormatting sqref="F245">
    <cfRule type="expression" dxfId="0" priority="1">
      <formula>F245=#REF!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421A 吳宗烜</dc:creator>
  <cp:lastModifiedBy>421A 吳宗烜</cp:lastModifiedBy>
  <dcterms:created xsi:type="dcterms:W3CDTF">2025-12-12T15:10:01Z</dcterms:created>
  <dcterms:modified xsi:type="dcterms:W3CDTF">2025-12-19T08:21:58Z</dcterms:modified>
</cp:coreProperties>
</file>