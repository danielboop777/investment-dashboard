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ea1b3cec0703664/桌面/"/>
    </mc:Choice>
  </mc:AlternateContent>
  <xr:revisionPtr revIDLastSave="0" documentId="8_{F27CFA07-89E4-4378-B3C8-3D2CADA7944F}" xr6:coauthVersionLast="47" xr6:coauthVersionMax="47" xr10:uidLastSave="{00000000-0000-0000-0000-000000000000}"/>
  <bookViews>
    <workbookView xWindow="-108" yWindow="-108" windowWidth="23256" windowHeight="12456" xr2:uid="{1E208682-983C-43A9-9187-9A56D79FDD0D}"/>
  </bookViews>
  <sheets>
    <sheet name="Funds Flow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57" i="1" l="1"/>
  <c r="B55" i="1"/>
  <c r="B54" i="1"/>
  <c r="C53" i="1"/>
  <c r="B53" i="1"/>
  <c r="B52" i="1"/>
  <c r="B51" i="1"/>
  <c r="B50" i="1"/>
  <c r="C49" i="1"/>
  <c r="B49" i="1"/>
  <c r="B48" i="1"/>
  <c r="B47" i="1"/>
  <c r="B46" i="1"/>
  <c r="C45" i="1"/>
  <c r="B45" i="1"/>
  <c r="B44" i="1"/>
  <c r="B43" i="1"/>
  <c r="B42" i="1"/>
  <c r="C41" i="1"/>
  <c r="B41" i="1"/>
  <c r="B40" i="1"/>
  <c r="B39" i="1"/>
  <c r="B38" i="1"/>
  <c r="C37" i="1"/>
  <c r="B37" i="1"/>
  <c r="B36" i="1"/>
  <c r="B35" i="1"/>
  <c r="B34" i="1"/>
  <c r="C33" i="1"/>
  <c r="B33" i="1"/>
  <c r="B32" i="1"/>
  <c r="B31" i="1"/>
  <c r="B30" i="1"/>
  <c r="C29" i="1"/>
  <c r="B29" i="1"/>
  <c r="B28" i="1"/>
  <c r="B27" i="1"/>
  <c r="B26" i="1"/>
  <c r="C25" i="1"/>
  <c r="B25" i="1"/>
  <c r="B24" i="1"/>
  <c r="B23" i="1"/>
  <c r="B22" i="1"/>
  <c r="C21" i="1"/>
  <c r="B21" i="1"/>
  <c r="B20" i="1"/>
  <c r="B19" i="1"/>
  <c r="B18" i="1"/>
  <c r="C50" i="1" s="1"/>
  <c r="C17" i="1"/>
  <c r="B17" i="1"/>
  <c r="C57" i="1" s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C2" i="1"/>
  <c r="C23" i="1" l="1"/>
  <c r="C35" i="1"/>
  <c r="C55" i="1"/>
  <c r="C56" i="1"/>
  <c r="C26" i="1"/>
  <c r="C38" i="1"/>
  <c r="C46" i="1"/>
  <c r="C19" i="1"/>
  <c r="C27" i="1"/>
  <c r="C31" i="1"/>
  <c r="C39" i="1"/>
  <c r="C43" i="1"/>
  <c r="C47" i="1"/>
  <c r="C51" i="1"/>
  <c r="C20" i="1"/>
  <c r="C24" i="1"/>
  <c r="C28" i="1"/>
  <c r="C32" i="1"/>
  <c r="C36" i="1"/>
  <c r="C40" i="1"/>
  <c r="C44" i="1"/>
  <c r="C48" i="1"/>
  <c r="C52" i="1"/>
  <c r="C18" i="1"/>
  <c r="C30" i="1"/>
  <c r="C42" i="1"/>
  <c r="C54" i="1"/>
  <c r="C22" i="1"/>
  <c r="C3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56" authorId="0" shapeId="0" xr:uid="{30FEB667-F66D-42EB-A178-FE7C7FC1401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US Trip</t>
        </r>
      </text>
    </comment>
    <comment ref="B57" authorId="0" shapeId="0" xr:uid="{76F74021-82B5-427C-BE81-5BA8FC8F4D4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Borrow $100K from Brother</t>
        </r>
      </text>
    </comment>
  </commentList>
</comments>
</file>

<file path=xl/sharedStrings.xml><?xml version="1.0" encoding="utf-8"?>
<sst xmlns="http://schemas.openxmlformats.org/spreadsheetml/2006/main" count="3" uniqueCount="3">
  <si>
    <t>Date</t>
    <phoneticPr fontId="2" type="noConversion"/>
  </si>
  <si>
    <t>Cash Inflow</t>
    <phoneticPr fontId="2" type="noConversion"/>
  </si>
  <si>
    <t>Accumulated Saving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</si>
</sst>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&quot;$&quot;#,##0"/>
  </numFmts>
  <fonts count="6" x14ac:knownFonts="1">
    <font>
      <sz val="11"/>
      <color theme="1"/>
      <name val="新細明體"/>
      <family val="2"/>
      <scheme val="minor"/>
    </font>
    <font>
      <b/>
      <sz val="11"/>
      <color theme="1"/>
      <name val="Calibri"/>
      <family val="2"/>
    </font>
    <font>
      <sz val="9"/>
      <name val="新細明體"/>
      <family val="3"/>
      <charset val="136"/>
      <scheme val="minor"/>
    </font>
    <font>
      <sz val="11"/>
      <color theme="1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0" borderId="0" xfId="0" applyFont="1"/>
    <xf numFmtId="14" fontId="3" fillId="0" borderId="1" xfId="0" applyNumberFormat="1" applyFont="1" applyBorder="1"/>
    <xf numFmtId="176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2C6FC-433E-430F-B16D-0DECEA94E634}">
  <sheetPr>
    <tabColor theme="4"/>
  </sheetPr>
  <dimension ref="A1:C59"/>
  <sheetViews>
    <sheetView tabSelected="1" workbookViewId="0">
      <selection activeCell="G13" sqref="G13"/>
    </sheetView>
  </sheetViews>
  <sheetFormatPr defaultRowHeight="14.4" x14ac:dyDescent="0.3"/>
  <cols>
    <col min="1" max="1" width="16.625" style="2" customWidth="1"/>
    <col min="2" max="2" width="19.75" style="5" customWidth="1"/>
    <col min="3" max="3" width="28" style="5" customWidth="1"/>
    <col min="4" max="16384" width="9" style="2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ht="15" x14ac:dyDescent="0.3">
      <c r="A2" s="3">
        <v>44316</v>
      </c>
      <c r="B2" s="4">
        <v>300000</v>
      </c>
      <c r="C2" s="4">
        <f>SUM($B$2:B2)</f>
        <v>300000</v>
      </c>
    </row>
    <row r="3" spans="1:3" x14ac:dyDescent="0.3">
      <c r="A3" s="3">
        <f>EOMONTH(A2,1)</f>
        <v>44347</v>
      </c>
      <c r="B3" s="4">
        <v>0</v>
      </c>
      <c r="C3" s="4">
        <f>SUM($B$2:B3)</f>
        <v>300000</v>
      </c>
    </row>
    <row r="4" spans="1:3" x14ac:dyDescent="0.3">
      <c r="A4" s="3">
        <f t="shared" ref="A4:A57" si="0">EOMONTH(A3,1)</f>
        <v>44377</v>
      </c>
      <c r="B4" s="4">
        <v>10000</v>
      </c>
      <c r="C4" s="4">
        <f>SUM($B$2:B4)</f>
        <v>310000</v>
      </c>
    </row>
    <row r="5" spans="1:3" x14ac:dyDescent="0.3">
      <c r="A5" s="3">
        <f t="shared" si="0"/>
        <v>44408</v>
      </c>
      <c r="B5" s="4">
        <v>10000</v>
      </c>
      <c r="C5" s="4">
        <f>SUM($B$2:B5)</f>
        <v>320000</v>
      </c>
    </row>
    <row r="6" spans="1:3" x14ac:dyDescent="0.3">
      <c r="A6" s="3">
        <f t="shared" si="0"/>
        <v>44439</v>
      </c>
      <c r="B6" s="4">
        <v>10000</v>
      </c>
      <c r="C6" s="4">
        <f>SUM($B$2:B6)</f>
        <v>330000</v>
      </c>
    </row>
    <row r="7" spans="1:3" x14ac:dyDescent="0.3">
      <c r="A7" s="3">
        <f t="shared" si="0"/>
        <v>44469</v>
      </c>
      <c r="B7" s="4">
        <v>10000</v>
      </c>
      <c r="C7" s="4">
        <f>SUM($B$2:B7)</f>
        <v>340000</v>
      </c>
    </row>
    <row r="8" spans="1:3" x14ac:dyDescent="0.3">
      <c r="A8" s="3">
        <f t="shared" si="0"/>
        <v>44500</v>
      </c>
      <c r="B8" s="4">
        <v>10000</v>
      </c>
      <c r="C8" s="4">
        <f>SUM($B$2:B8)</f>
        <v>350000</v>
      </c>
    </row>
    <row r="9" spans="1:3" x14ac:dyDescent="0.3">
      <c r="A9" s="3">
        <f t="shared" si="0"/>
        <v>44530</v>
      </c>
      <c r="B9" s="4">
        <v>10000</v>
      </c>
      <c r="C9" s="4">
        <f>SUM($B$2:B9)</f>
        <v>360000</v>
      </c>
    </row>
    <row r="10" spans="1:3" x14ac:dyDescent="0.3">
      <c r="A10" s="3">
        <f t="shared" si="0"/>
        <v>44561</v>
      </c>
      <c r="B10" s="4">
        <v>10000</v>
      </c>
      <c r="C10" s="4">
        <f>SUM($B$2:B10)</f>
        <v>370000</v>
      </c>
    </row>
    <row r="11" spans="1:3" x14ac:dyDescent="0.3">
      <c r="A11" s="3">
        <f t="shared" si="0"/>
        <v>44592</v>
      </c>
      <c r="B11" s="4">
        <v>10000</v>
      </c>
      <c r="C11" s="4">
        <f>SUM($B$2:B11)</f>
        <v>380000</v>
      </c>
    </row>
    <row r="12" spans="1:3" x14ac:dyDescent="0.3">
      <c r="A12" s="3">
        <f t="shared" si="0"/>
        <v>44620</v>
      </c>
      <c r="B12" s="4">
        <v>10000</v>
      </c>
      <c r="C12" s="4">
        <f>SUM($B$2:B12)</f>
        <v>390000</v>
      </c>
    </row>
    <row r="13" spans="1:3" x14ac:dyDescent="0.3">
      <c r="A13" s="3">
        <f t="shared" si="0"/>
        <v>44651</v>
      </c>
      <c r="B13" s="4">
        <v>10000</v>
      </c>
      <c r="C13" s="4">
        <f>SUM($B$2:B13)</f>
        <v>400000</v>
      </c>
    </row>
    <row r="14" spans="1:3" x14ac:dyDescent="0.3">
      <c r="A14" s="3">
        <f t="shared" si="0"/>
        <v>44681</v>
      </c>
      <c r="B14" s="4">
        <v>10000</v>
      </c>
      <c r="C14" s="4">
        <f>SUM($B$2:B14)</f>
        <v>410000</v>
      </c>
    </row>
    <row r="15" spans="1:3" x14ac:dyDescent="0.3">
      <c r="A15" s="3">
        <f t="shared" si="0"/>
        <v>44712</v>
      </c>
      <c r="B15" s="4">
        <v>10000</v>
      </c>
      <c r="C15" s="4">
        <f>SUM($B$2:B15)</f>
        <v>420000</v>
      </c>
    </row>
    <row r="16" spans="1:3" x14ac:dyDescent="0.3">
      <c r="A16" s="3">
        <f t="shared" si="0"/>
        <v>44742</v>
      </c>
      <c r="B16" s="4">
        <v>10000</v>
      </c>
      <c r="C16" s="4">
        <f>SUM($B$2:B16)</f>
        <v>430000</v>
      </c>
    </row>
    <row r="17" spans="1:3" x14ac:dyDescent="0.3">
      <c r="A17" s="3">
        <f t="shared" si="0"/>
        <v>44773</v>
      </c>
      <c r="B17" s="4">
        <f>55000-35000</f>
        <v>20000</v>
      </c>
      <c r="C17" s="4">
        <f>SUM($B$2:B17)</f>
        <v>450000</v>
      </c>
    </row>
    <row r="18" spans="1:3" x14ac:dyDescent="0.3">
      <c r="A18" s="3">
        <f t="shared" si="0"/>
        <v>44804</v>
      </c>
      <c r="B18" s="4">
        <f t="shared" ref="B18:B22" si="1">55000-35000</f>
        <v>20000</v>
      </c>
      <c r="C18" s="4">
        <f>SUM($B$2:B18)</f>
        <v>470000</v>
      </c>
    </row>
    <row r="19" spans="1:3" x14ac:dyDescent="0.3">
      <c r="A19" s="3">
        <f t="shared" si="0"/>
        <v>44834</v>
      </c>
      <c r="B19" s="4">
        <f t="shared" si="1"/>
        <v>20000</v>
      </c>
      <c r="C19" s="4">
        <f>SUM($B$2:B19)</f>
        <v>490000</v>
      </c>
    </row>
    <row r="20" spans="1:3" x14ac:dyDescent="0.3">
      <c r="A20" s="3">
        <f t="shared" si="0"/>
        <v>44865</v>
      </c>
      <c r="B20" s="4">
        <f t="shared" si="1"/>
        <v>20000</v>
      </c>
      <c r="C20" s="4">
        <f>SUM($B$2:B20)</f>
        <v>510000</v>
      </c>
    </row>
    <row r="21" spans="1:3" x14ac:dyDescent="0.3">
      <c r="A21" s="3">
        <f t="shared" si="0"/>
        <v>44895</v>
      </c>
      <c r="B21" s="4">
        <f t="shared" si="1"/>
        <v>20000</v>
      </c>
      <c r="C21" s="4">
        <f>SUM($B$2:B21)</f>
        <v>530000</v>
      </c>
    </row>
    <row r="22" spans="1:3" x14ac:dyDescent="0.3">
      <c r="A22" s="3">
        <f t="shared" si="0"/>
        <v>44926</v>
      </c>
      <c r="B22" s="4">
        <f t="shared" si="1"/>
        <v>20000</v>
      </c>
      <c r="C22" s="4">
        <f>SUM($B$2:B22)</f>
        <v>550000</v>
      </c>
    </row>
    <row r="23" spans="1:3" x14ac:dyDescent="0.3">
      <c r="A23" s="3">
        <f t="shared" si="0"/>
        <v>44957</v>
      </c>
      <c r="B23" s="4">
        <f>63087+165000-60000</f>
        <v>168087</v>
      </c>
      <c r="C23" s="4">
        <f>SUM($B$2:B23)</f>
        <v>718087</v>
      </c>
    </row>
    <row r="24" spans="1:3" x14ac:dyDescent="0.3">
      <c r="A24" s="3">
        <f t="shared" si="0"/>
        <v>44985</v>
      </c>
      <c r="B24" s="4">
        <f>63087-40000</f>
        <v>23087</v>
      </c>
      <c r="C24" s="4">
        <f>SUM($B$2:B24)</f>
        <v>741174</v>
      </c>
    </row>
    <row r="25" spans="1:3" x14ac:dyDescent="0.3">
      <c r="A25" s="3">
        <f t="shared" si="0"/>
        <v>45016</v>
      </c>
      <c r="B25" s="4">
        <f t="shared" ref="B25:B29" si="2">63087-40000</f>
        <v>23087</v>
      </c>
      <c r="C25" s="4">
        <f>SUM($B$2:B25)</f>
        <v>764261</v>
      </c>
    </row>
    <row r="26" spans="1:3" x14ac:dyDescent="0.3">
      <c r="A26" s="3">
        <f t="shared" si="0"/>
        <v>45046</v>
      </c>
      <c r="B26" s="4">
        <f t="shared" si="2"/>
        <v>23087</v>
      </c>
      <c r="C26" s="4">
        <f>SUM($B$2:B26)</f>
        <v>787348</v>
      </c>
    </row>
    <row r="27" spans="1:3" x14ac:dyDescent="0.3">
      <c r="A27" s="3">
        <f t="shared" si="0"/>
        <v>45077</v>
      </c>
      <c r="B27" s="4">
        <f t="shared" si="2"/>
        <v>23087</v>
      </c>
      <c r="C27" s="4">
        <f>SUM($B$2:B27)</f>
        <v>810435</v>
      </c>
    </row>
    <row r="28" spans="1:3" x14ac:dyDescent="0.3">
      <c r="A28" s="3">
        <f t="shared" si="0"/>
        <v>45107</v>
      </c>
      <c r="B28" s="4">
        <f t="shared" si="2"/>
        <v>23087</v>
      </c>
      <c r="C28" s="4">
        <f>SUM($B$2:B28)</f>
        <v>833522</v>
      </c>
    </row>
    <row r="29" spans="1:3" x14ac:dyDescent="0.3">
      <c r="A29" s="3">
        <f t="shared" si="0"/>
        <v>45138</v>
      </c>
      <c r="B29" s="4">
        <f>72864-40000</f>
        <v>32864</v>
      </c>
      <c r="C29" s="4">
        <f>SUM($B$2:B29)</f>
        <v>866386</v>
      </c>
    </row>
    <row r="30" spans="1:3" x14ac:dyDescent="0.3">
      <c r="A30" s="3">
        <f t="shared" si="0"/>
        <v>45169</v>
      </c>
      <c r="B30" s="4">
        <f t="shared" ref="B30:B35" si="3">72864-40000</f>
        <v>32864</v>
      </c>
      <c r="C30" s="4">
        <f>SUM($B$2:B30)</f>
        <v>899250</v>
      </c>
    </row>
    <row r="31" spans="1:3" x14ac:dyDescent="0.3">
      <c r="A31" s="3">
        <f t="shared" si="0"/>
        <v>45199</v>
      </c>
      <c r="B31" s="4">
        <f t="shared" si="3"/>
        <v>32864</v>
      </c>
      <c r="C31" s="4">
        <f>SUM($B$2:B31)</f>
        <v>932114</v>
      </c>
    </row>
    <row r="32" spans="1:3" x14ac:dyDescent="0.3">
      <c r="A32" s="3">
        <f t="shared" si="0"/>
        <v>45230</v>
      </c>
      <c r="B32" s="4">
        <f t="shared" si="3"/>
        <v>32864</v>
      </c>
      <c r="C32" s="4">
        <f>SUM($B$2:B32)</f>
        <v>964978</v>
      </c>
    </row>
    <row r="33" spans="1:3" x14ac:dyDescent="0.3">
      <c r="A33" s="3">
        <f t="shared" si="0"/>
        <v>45260</v>
      </c>
      <c r="B33" s="4">
        <f t="shared" si="3"/>
        <v>32864</v>
      </c>
      <c r="C33" s="4">
        <f>SUM($B$2:B33)</f>
        <v>997842</v>
      </c>
    </row>
    <row r="34" spans="1:3" x14ac:dyDescent="0.3">
      <c r="A34" s="3">
        <f t="shared" si="0"/>
        <v>45291</v>
      </c>
      <c r="B34" s="4">
        <f t="shared" si="3"/>
        <v>32864</v>
      </c>
      <c r="C34" s="4">
        <f>SUM($B$2:B34)</f>
        <v>1030706</v>
      </c>
    </row>
    <row r="35" spans="1:3" x14ac:dyDescent="0.3">
      <c r="A35" s="3">
        <f t="shared" si="0"/>
        <v>45322</v>
      </c>
      <c r="B35" s="4">
        <f>80364+900000-80000</f>
        <v>900364</v>
      </c>
      <c r="C35" s="4">
        <f>SUM($B$2:B35)</f>
        <v>1931070</v>
      </c>
    </row>
    <row r="36" spans="1:3" x14ac:dyDescent="0.3">
      <c r="A36" s="3">
        <f t="shared" si="0"/>
        <v>45351</v>
      </c>
      <c r="B36" s="4">
        <f>80099-45000</f>
        <v>35099</v>
      </c>
      <c r="C36" s="4">
        <f>SUM($B$2:B36)</f>
        <v>1966169</v>
      </c>
    </row>
    <row r="37" spans="1:3" x14ac:dyDescent="0.3">
      <c r="A37" s="3">
        <f t="shared" si="0"/>
        <v>45382</v>
      </c>
      <c r="B37" s="4">
        <f t="shared" ref="B37:B48" si="4">80099-45000</f>
        <v>35099</v>
      </c>
      <c r="C37" s="4">
        <f>SUM($B$2:B37)</f>
        <v>2001268</v>
      </c>
    </row>
    <row r="38" spans="1:3" x14ac:dyDescent="0.3">
      <c r="A38" s="3">
        <f t="shared" si="0"/>
        <v>45412</v>
      </c>
      <c r="B38" s="4">
        <f t="shared" si="4"/>
        <v>35099</v>
      </c>
      <c r="C38" s="4">
        <f>SUM($B$2:B38)</f>
        <v>2036367</v>
      </c>
    </row>
    <row r="39" spans="1:3" x14ac:dyDescent="0.3">
      <c r="A39" s="3">
        <f t="shared" si="0"/>
        <v>45443</v>
      </c>
      <c r="B39" s="4">
        <f t="shared" si="4"/>
        <v>35099</v>
      </c>
      <c r="C39" s="4">
        <f>SUM($B$2:B39)</f>
        <v>2071466</v>
      </c>
    </row>
    <row r="40" spans="1:3" x14ac:dyDescent="0.3">
      <c r="A40" s="3">
        <f t="shared" si="0"/>
        <v>45473</v>
      </c>
      <c r="B40" s="4">
        <f t="shared" si="4"/>
        <v>35099</v>
      </c>
      <c r="C40" s="4">
        <f>SUM($B$2:B40)</f>
        <v>2106565</v>
      </c>
    </row>
    <row r="41" spans="1:3" x14ac:dyDescent="0.3">
      <c r="A41" s="3">
        <f t="shared" si="0"/>
        <v>45504</v>
      </c>
      <c r="B41" s="4">
        <f t="shared" si="4"/>
        <v>35099</v>
      </c>
      <c r="C41" s="4">
        <f>SUM($B$2:B41)</f>
        <v>2141664</v>
      </c>
    </row>
    <row r="42" spans="1:3" x14ac:dyDescent="0.3">
      <c r="A42" s="3">
        <f t="shared" si="0"/>
        <v>45535</v>
      </c>
      <c r="B42" s="4">
        <f t="shared" si="4"/>
        <v>35099</v>
      </c>
      <c r="C42" s="4">
        <f>SUM($B$2:B42)</f>
        <v>2176763</v>
      </c>
    </row>
    <row r="43" spans="1:3" x14ac:dyDescent="0.3">
      <c r="A43" s="3">
        <f t="shared" si="0"/>
        <v>45565</v>
      </c>
      <c r="B43" s="4">
        <f t="shared" si="4"/>
        <v>35099</v>
      </c>
      <c r="C43" s="4">
        <f>SUM($B$2:B43)</f>
        <v>2211862</v>
      </c>
    </row>
    <row r="44" spans="1:3" x14ac:dyDescent="0.3">
      <c r="A44" s="3">
        <f t="shared" si="0"/>
        <v>45596</v>
      </c>
      <c r="B44" s="4">
        <f t="shared" si="4"/>
        <v>35099</v>
      </c>
      <c r="C44" s="4">
        <f>SUM($B$2:B44)</f>
        <v>2246961</v>
      </c>
    </row>
    <row r="45" spans="1:3" x14ac:dyDescent="0.3">
      <c r="A45" s="3">
        <f t="shared" si="0"/>
        <v>45626</v>
      </c>
      <c r="B45" s="4">
        <f t="shared" si="4"/>
        <v>35099</v>
      </c>
      <c r="C45" s="4">
        <f>SUM($B$2:B45)</f>
        <v>2282060</v>
      </c>
    </row>
    <row r="46" spans="1:3" x14ac:dyDescent="0.3">
      <c r="A46" s="3">
        <f t="shared" si="0"/>
        <v>45657</v>
      </c>
      <c r="B46" s="4">
        <f t="shared" si="4"/>
        <v>35099</v>
      </c>
      <c r="C46" s="4">
        <f>SUM($B$2:B46)</f>
        <v>2317159</v>
      </c>
    </row>
    <row r="47" spans="1:3" x14ac:dyDescent="0.3">
      <c r="A47" s="3">
        <f t="shared" si="0"/>
        <v>45688</v>
      </c>
      <c r="B47" s="4">
        <f>1250000+85357-80000</f>
        <v>1255357</v>
      </c>
      <c r="C47" s="4">
        <f>SUM($B$2:B47)</f>
        <v>3572516</v>
      </c>
    </row>
    <row r="48" spans="1:3" x14ac:dyDescent="0.3">
      <c r="A48" s="3">
        <f t="shared" si="0"/>
        <v>45716</v>
      </c>
      <c r="B48" s="4">
        <f>85357-50000</f>
        <v>35357</v>
      </c>
      <c r="C48" s="4">
        <f>SUM($B$2:B48)</f>
        <v>3607873</v>
      </c>
    </row>
    <row r="49" spans="1:3" x14ac:dyDescent="0.3">
      <c r="A49" s="3">
        <f t="shared" si="0"/>
        <v>45747</v>
      </c>
      <c r="B49" s="4">
        <f t="shared" ref="B49:B59" si="5">85357-50000</f>
        <v>35357</v>
      </c>
      <c r="C49" s="4">
        <f>SUM($B$2:B49)</f>
        <v>3643230</v>
      </c>
    </row>
    <row r="50" spans="1:3" x14ac:dyDescent="0.3">
      <c r="A50" s="3">
        <f t="shared" si="0"/>
        <v>45777</v>
      </c>
      <c r="B50" s="4">
        <f t="shared" si="5"/>
        <v>35357</v>
      </c>
      <c r="C50" s="4">
        <f>SUM($B$2:B50)</f>
        <v>3678587</v>
      </c>
    </row>
    <row r="51" spans="1:3" x14ac:dyDescent="0.3">
      <c r="A51" s="3">
        <f t="shared" si="0"/>
        <v>45808</v>
      </c>
      <c r="B51" s="4">
        <f t="shared" si="5"/>
        <v>35357</v>
      </c>
      <c r="C51" s="4">
        <f>SUM($B$2:B51)</f>
        <v>3713944</v>
      </c>
    </row>
    <row r="52" spans="1:3" x14ac:dyDescent="0.3">
      <c r="A52" s="3">
        <f t="shared" si="0"/>
        <v>45838</v>
      </c>
      <c r="B52" s="4">
        <f t="shared" si="5"/>
        <v>35357</v>
      </c>
      <c r="C52" s="4">
        <f>SUM($B$2:B52)</f>
        <v>3749301</v>
      </c>
    </row>
    <row r="53" spans="1:3" x14ac:dyDescent="0.3">
      <c r="A53" s="3">
        <f t="shared" si="0"/>
        <v>45869</v>
      </c>
      <c r="B53" s="4">
        <f t="shared" si="5"/>
        <v>35357</v>
      </c>
      <c r="C53" s="4">
        <f>SUM($B$2:B53)</f>
        <v>3784658</v>
      </c>
    </row>
    <row r="54" spans="1:3" x14ac:dyDescent="0.3">
      <c r="A54" s="3">
        <f t="shared" si="0"/>
        <v>45900</v>
      </c>
      <c r="B54" s="4">
        <f t="shared" si="5"/>
        <v>35357</v>
      </c>
      <c r="C54" s="4">
        <f>SUM($B$2:B54)</f>
        <v>3820015</v>
      </c>
    </row>
    <row r="55" spans="1:3" x14ac:dyDescent="0.3">
      <c r="A55" s="3">
        <f t="shared" si="0"/>
        <v>45930</v>
      </c>
      <c r="B55" s="4">
        <f t="shared" si="5"/>
        <v>35357</v>
      </c>
      <c r="C55" s="4">
        <f>SUM($B$2:B55)</f>
        <v>3855372</v>
      </c>
    </row>
    <row r="56" spans="1:3" x14ac:dyDescent="0.3">
      <c r="A56" s="3">
        <f t="shared" si="0"/>
        <v>45961</v>
      </c>
      <c r="B56" s="4">
        <v>0</v>
      </c>
      <c r="C56" s="4">
        <f>SUM($B$2:B56)</f>
        <v>3855372</v>
      </c>
    </row>
    <row r="57" spans="1:3" x14ac:dyDescent="0.3">
      <c r="A57" s="3">
        <f t="shared" si="0"/>
        <v>45991</v>
      </c>
      <c r="B57" s="4">
        <f>85357-50000+100000</f>
        <v>135357</v>
      </c>
      <c r="C57" s="4">
        <f>SUM($B$2:B57)</f>
        <v>3990729</v>
      </c>
    </row>
    <row r="58" spans="1:3" x14ac:dyDescent="0.3">
      <c r="A58" s="3"/>
      <c r="B58" s="4"/>
      <c r="C58" s="4"/>
    </row>
    <row r="59" spans="1:3" x14ac:dyDescent="0.3">
      <c r="A59" s="3"/>
      <c r="B59" s="4"/>
      <c r="C59" s="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Funds Flow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421A 吳宗烜</dc:creator>
  <cp:lastModifiedBy>421A 吳宗烜</cp:lastModifiedBy>
  <dcterms:created xsi:type="dcterms:W3CDTF">2025-12-13T07:45:09Z</dcterms:created>
  <dcterms:modified xsi:type="dcterms:W3CDTF">2025-12-13T07:45:29Z</dcterms:modified>
</cp:coreProperties>
</file>